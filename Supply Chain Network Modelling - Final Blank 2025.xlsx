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filterPrivacy="1" defaultThemeVersion="124226"/>
  <xr:revisionPtr revIDLastSave="0" documentId="13_ncr:1_{4F2CCCC5-AB9E-4E5D-96FD-DE80681FFCB5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Network Modeling" sheetId="4" r:id="rId1"/>
    <sheet name="Sheet1" sheetId="15" r:id="rId2"/>
    <sheet name="1" sheetId="13" r:id="rId3"/>
    <sheet name="DISTANCE Calculator " sheetId="14" r:id="rId4"/>
    <sheet name="SKU Calculator" sheetId="2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5" i="2" l="1"/>
  <c r="V14" i="2"/>
  <c r="V13" i="2"/>
  <c r="V12" i="2"/>
  <c r="V11" i="2"/>
  <c r="V10" i="2"/>
  <c r="V9" i="2"/>
  <c r="V8" i="2"/>
  <c r="V7" i="2"/>
  <c r="V6" i="2"/>
  <c r="V15" i="2" s="1"/>
  <c r="P15" i="2"/>
  <c r="Q14" i="2"/>
  <c r="Q13" i="2"/>
  <c r="Q12" i="2"/>
  <c r="Q11" i="2"/>
  <c r="Q10" i="2"/>
  <c r="Q9" i="2"/>
  <c r="Q8" i="2"/>
  <c r="Q7" i="2"/>
  <c r="Q6" i="2"/>
  <c r="L15" i="2"/>
  <c r="M14" i="2"/>
  <c r="M13" i="2"/>
  <c r="M12" i="2"/>
  <c r="M11" i="2"/>
  <c r="M10" i="2"/>
  <c r="M9" i="2"/>
  <c r="M8" i="2"/>
  <c r="M7" i="2"/>
  <c r="M6" i="2"/>
  <c r="M15" i="2" s="1"/>
  <c r="H15" i="2"/>
  <c r="I14" i="2"/>
  <c r="I13" i="2"/>
  <c r="I12" i="2"/>
  <c r="I11" i="2"/>
  <c r="I10" i="2"/>
  <c r="I9" i="2"/>
  <c r="I8" i="2"/>
  <c r="I7" i="2"/>
  <c r="I6" i="2"/>
  <c r="I15" i="2" s="1"/>
  <c r="T4" i="4"/>
  <c r="U4" i="4"/>
  <c r="J4" i="4"/>
  <c r="Q15" i="2" l="1"/>
  <c r="D14" i="14"/>
  <c r="D13" i="14"/>
  <c r="D12" i="14"/>
  <c r="D11" i="14"/>
  <c r="D10" i="14"/>
  <c r="D15" i="14" l="1"/>
  <c r="C15" i="14"/>
  <c r="R16" i="13"/>
  <c r="AJ16" i="13" s="1"/>
  <c r="Q16" i="13"/>
  <c r="AI16" i="13" s="1"/>
  <c r="P16" i="13"/>
  <c r="AH16" i="13" s="1"/>
  <c r="O16" i="13"/>
  <c r="AG16" i="13" s="1"/>
  <c r="N16" i="13"/>
  <c r="AF16" i="13" s="1"/>
  <c r="M16" i="13"/>
  <c r="AE16" i="13" s="1"/>
  <c r="L16" i="13"/>
  <c r="AD16" i="13" s="1"/>
  <c r="K16" i="13"/>
  <c r="AC16" i="13" s="1"/>
  <c r="R15" i="13"/>
  <c r="AJ15" i="13" s="1"/>
  <c r="Q15" i="13"/>
  <c r="AI15" i="13" s="1"/>
  <c r="P15" i="13"/>
  <c r="AH15" i="13" s="1"/>
  <c r="O15" i="13"/>
  <c r="AG15" i="13" s="1"/>
  <c r="N15" i="13"/>
  <c r="AF15" i="13" s="1"/>
  <c r="M15" i="13"/>
  <c r="AE15" i="13" s="1"/>
  <c r="L15" i="13"/>
  <c r="AD15" i="13" s="1"/>
  <c r="K15" i="13"/>
  <c r="AC15" i="13" s="1"/>
  <c r="R14" i="13"/>
  <c r="AJ14" i="13" s="1"/>
  <c r="Q14" i="13"/>
  <c r="AI14" i="13" s="1"/>
  <c r="P14" i="13"/>
  <c r="AH14" i="13" s="1"/>
  <c r="O14" i="13"/>
  <c r="AG14" i="13" s="1"/>
  <c r="N14" i="13"/>
  <c r="AF14" i="13" s="1"/>
  <c r="M14" i="13"/>
  <c r="AE14" i="13" s="1"/>
  <c r="L14" i="13"/>
  <c r="AD14" i="13" s="1"/>
  <c r="K14" i="13"/>
  <c r="AC14" i="13" s="1"/>
  <c r="R13" i="13"/>
  <c r="AJ13" i="13" s="1"/>
  <c r="Q13" i="13"/>
  <c r="AI13" i="13" s="1"/>
  <c r="P13" i="13"/>
  <c r="AH13" i="13" s="1"/>
  <c r="O13" i="13"/>
  <c r="AG13" i="13" s="1"/>
  <c r="N13" i="13"/>
  <c r="AF13" i="13" s="1"/>
  <c r="M13" i="13"/>
  <c r="AE13" i="13" s="1"/>
  <c r="L13" i="13"/>
  <c r="AD13" i="13" s="1"/>
  <c r="K13" i="13"/>
  <c r="AC13" i="13" s="1"/>
  <c r="R12" i="13"/>
  <c r="AJ12" i="13" s="1"/>
  <c r="Q12" i="13"/>
  <c r="AI12" i="13" s="1"/>
  <c r="P12" i="13"/>
  <c r="AH12" i="13" s="1"/>
  <c r="O12" i="13"/>
  <c r="AG12" i="13" s="1"/>
  <c r="N12" i="13"/>
  <c r="AF12" i="13" s="1"/>
  <c r="M12" i="13"/>
  <c r="AE12" i="13" s="1"/>
  <c r="L12" i="13"/>
  <c r="AD12" i="13" s="1"/>
  <c r="K12" i="13"/>
  <c r="AC12" i="13" s="1"/>
  <c r="R11" i="13"/>
  <c r="AJ11" i="13" s="1"/>
  <c r="Q11" i="13"/>
  <c r="AI11" i="13" s="1"/>
  <c r="P11" i="13"/>
  <c r="AH11" i="13" s="1"/>
  <c r="O11" i="13"/>
  <c r="AG11" i="13" s="1"/>
  <c r="N11" i="13"/>
  <c r="AF11" i="13" s="1"/>
  <c r="M11" i="13"/>
  <c r="AE11" i="13" s="1"/>
  <c r="L11" i="13"/>
  <c r="AD11" i="13" s="1"/>
  <c r="K11" i="13"/>
  <c r="AC11" i="13" s="1"/>
  <c r="R10" i="13"/>
  <c r="AJ10" i="13" s="1"/>
  <c r="Q10" i="13"/>
  <c r="AI10" i="13" s="1"/>
  <c r="P10" i="13"/>
  <c r="AH10" i="13" s="1"/>
  <c r="O10" i="13"/>
  <c r="AG10" i="13" s="1"/>
  <c r="N10" i="13"/>
  <c r="AF10" i="13" s="1"/>
  <c r="M10" i="13"/>
  <c r="AE10" i="13" s="1"/>
  <c r="L10" i="13"/>
  <c r="AD10" i="13" s="1"/>
  <c r="K10" i="13"/>
  <c r="AC10" i="13" s="1"/>
  <c r="R9" i="13"/>
  <c r="AJ9" i="13" s="1"/>
  <c r="Q9" i="13"/>
  <c r="AI9" i="13" s="1"/>
  <c r="P9" i="13"/>
  <c r="AH9" i="13" s="1"/>
  <c r="O9" i="13"/>
  <c r="AG9" i="13" s="1"/>
  <c r="N9" i="13"/>
  <c r="AF9" i="13" s="1"/>
  <c r="M9" i="13"/>
  <c r="AE9" i="13" s="1"/>
  <c r="L9" i="13"/>
  <c r="AD9" i="13" s="1"/>
  <c r="K9" i="13"/>
  <c r="AC9" i="13" s="1"/>
  <c r="R8" i="13"/>
  <c r="AJ8" i="13" s="1"/>
  <c r="Q8" i="13"/>
  <c r="AI8" i="13" s="1"/>
  <c r="P8" i="13"/>
  <c r="AH8" i="13" s="1"/>
  <c r="O8" i="13"/>
  <c r="AG8" i="13" s="1"/>
  <c r="N8" i="13"/>
  <c r="AF8" i="13" s="1"/>
  <c r="M8" i="13"/>
  <c r="AE8" i="13" s="1"/>
  <c r="L8" i="13"/>
  <c r="AD8" i="13" s="1"/>
  <c r="K8" i="13"/>
  <c r="AC8" i="13" s="1"/>
  <c r="R7" i="13"/>
  <c r="AJ7" i="13" s="1"/>
  <c r="Q7" i="13"/>
  <c r="AI7" i="13" s="1"/>
  <c r="P7" i="13"/>
  <c r="AH7" i="13" s="1"/>
  <c r="O7" i="13"/>
  <c r="AG7" i="13" s="1"/>
  <c r="N7" i="13"/>
  <c r="AF7" i="13" s="1"/>
  <c r="M7" i="13"/>
  <c r="AE7" i="13" s="1"/>
  <c r="L7" i="13"/>
  <c r="AD7" i="13" s="1"/>
  <c r="K7" i="13"/>
  <c r="AC7" i="13" s="1"/>
  <c r="R6" i="13"/>
  <c r="AJ6" i="13" s="1"/>
  <c r="Q6" i="13"/>
  <c r="AI6" i="13" s="1"/>
  <c r="P6" i="13"/>
  <c r="AH6" i="13" s="1"/>
  <c r="O6" i="13"/>
  <c r="AG6" i="13" s="1"/>
  <c r="N6" i="13"/>
  <c r="AF6" i="13" s="1"/>
  <c r="M6" i="13"/>
  <c r="AE6" i="13" s="1"/>
  <c r="L6" i="13"/>
  <c r="AD6" i="13" s="1"/>
  <c r="K6" i="13"/>
  <c r="AC6" i="13" s="1"/>
  <c r="R5" i="13"/>
  <c r="AJ5" i="13" s="1"/>
  <c r="Q5" i="13"/>
  <c r="AI5" i="13" s="1"/>
  <c r="P5" i="13"/>
  <c r="AH5" i="13" s="1"/>
  <c r="O5" i="13"/>
  <c r="AG5" i="13" s="1"/>
  <c r="N5" i="13"/>
  <c r="AF5" i="13" s="1"/>
  <c r="M5" i="13"/>
  <c r="AE5" i="13" s="1"/>
  <c r="L5" i="13"/>
  <c r="AD5" i="13" s="1"/>
  <c r="K5" i="13"/>
  <c r="AC5" i="13" s="1"/>
  <c r="R4" i="13"/>
  <c r="AJ4" i="13" s="1"/>
  <c r="Q4" i="13"/>
  <c r="AI4" i="13" s="1"/>
  <c r="P4" i="13"/>
  <c r="AH4" i="13" s="1"/>
  <c r="O4" i="13"/>
  <c r="AG4" i="13" s="1"/>
  <c r="N4" i="13"/>
  <c r="AF4" i="13" s="1"/>
  <c r="M4" i="13"/>
  <c r="AE4" i="13" s="1"/>
  <c r="L4" i="13"/>
  <c r="AD4" i="13" s="1"/>
  <c r="K4" i="13"/>
  <c r="L4" i="4"/>
  <c r="H4" i="4"/>
  <c r="F4" i="4"/>
  <c r="D4" i="4"/>
  <c r="E14" i="2"/>
  <c r="E13" i="2"/>
  <c r="E12" i="2"/>
  <c r="E11" i="2"/>
  <c r="E10" i="2"/>
  <c r="E9" i="2"/>
  <c r="E8" i="2"/>
  <c r="E7" i="2"/>
  <c r="E6" i="2"/>
  <c r="M4" i="4" l="1"/>
  <c r="R17" i="13"/>
  <c r="AJ20" i="13"/>
  <c r="AJ21" i="13"/>
  <c r="AC4" i="13"/>
  <c r="D15" i="2"/>
  <c r="E15" i="2"/>
  <c r="AJ17" i="13" l="1"/>
  <c r="AJ19" i="13"/>
  <c r="AJ22" i="13" s="1"/>
  <c r="V4" i="4" s="1"/>
</calcChain>
</file>

<file path=xl/sharedStrings.xml><?xml version="1.0" encoding="utf-8"?>
<sst xmlns="http://schemas.openxmlformats.org/spreadsheetml/2006/main" count="376" uniqueCount="192">
  <si>
    <t>SUPPLY CHAIN NETWORK MODELLING</t>
  </si>
  <si>
    <t>Plants' Max. Capacities                                                             (in Units Per month)</t>
  </si>
  <si>
    <t xml:space="preserve">  </t>
  </si>
  <si>
    <t>Warehouses' Max. Capacities                                        (in SKUs per month)</t>
  </si>
  <si>
    <t>Team</t>
  </si>
  <si>
    <t>No. of Assembly Units (AUs)</t>
  </si>
  <si>
    <t>AU1</t>
  </si>
  <si>
    <t>Cost</t>
  </si>
  <si>
    <t>AU2</t>
  </si>
  <si>
    <t>AU3</t>
  </si>
  <si>
    <t>AU4</t>
  </si>
  <si>
    <t>AU5</t>
  </si>
  <si>
    <t>Assembly Units Cost Per Month</t>
  </si>
  <si>
    <t>No. of Warehouses/Stores</t>
  </si>
  <si>
    <t>W1</t>
  </si>
  <si>
    <t>W2</t>
  </si>
  <si>
    <t>W3</t>
  </si>
  <si>
    <t>W4</t>
  </si>
  <si>
    <t>W5</t>
  </si>
  <si>
    <t>Warehouse Cost             (per Month)</t>
  </si>
  <si>
    <t>Transport Cost             (per month)</t>
  </si>
  <si>
    <t>TOTAL LOGISTICS COST                     (Per Month)</t>
  </si>
  <si>
    <t>Group J</t>
  </si>
  <si>
    <t>IN SKUs PER MONTH</t>
  </si>
  <si>
    <t xml:space="preserve"> DISTANCE MATRIX</t>
  </si>
  <si>
    <t>TRANSPORT COST (PER SKU) MATRIX</t>
  </si>
  <si>
    <t>ALLOCATION</t>
  </si>
  <si>
    <t>TRANSPORT COST MATRIX</t>
  </si>
  <si>
    <t>S1</t>
  </si>
  <si>
    <t>S2</t>
  </si>
  <si>
    <t>S3</t>
  </si>
  <si>
    <t>Tirupati</t>
  </si>
  <si>
    <t>C1</t>
  </si>
  <si>
    <t>Coimbatore</t>
  </si>
  <si>
    <t>C2</t>
  </si>
  <si>
    <t>Karaikudi</t>
  </si>
  <si>
    <t>C3</t>
  </si>
  <si>
    <t>Tiruvananthapuram</t>
  </si>
  <si>
    <t>C4</t>
  </si>
  <si>
    <t>Rameshwaram</t>
  </si>
  <si>
    <t>C5</t>
  </si>
  <si>
    <t>Tuticorn</t>
  </si>
  <si>
    <t>C6</t>
  </si>
  <si>
    <t>Cochin</t>
  </si>
  <si>
    <t>C7</t>
  </si>
  <si>
    <t>Pondicherry</t>
  </si>
  <si>
    <t>C8</t>
  </si>
  <si>
    <t>TRANSPORT COST TOTAL (PER UNIT)</t>
  </si>
  <si>
    <t xml:space="preserve">TRANSPORT COST TOTAL </t>
  </si>
  <si>
    <t>Supplier to Stores</t>
  </si>
  <si>
    <t>Inbound Cost (Per month)</t>
  </si>
  <si>
    <t>Stores to Assembly</t>
  </si>
  <si>
    <t>Transport cost ( Per month)</t>
  </si>
  <si>
    <t>AU to Dealer</t>
  </si>
  <si>
    <t>Outbound cost(Per month)</t>
  </si>
  <si>
    <t>Total Transportation Cost (PM)</t>
  </si>
  <si>
    <t>Route</t>
  </si>
  <si>
    <t>From</t>
  </si>
  <si>
    <t>To</t>
  </si>
  <si>
    <t>Speed</t>
  </si>
  <si>
    <t>Max. Distance</t>
  </si>
  <si>
    <t>NH</t>
  </si>
  <si>
    <t>250 KM/Day</t>
  </si>
  <si>
    <t>Major Road</t>
  </si>
  <si>
    <t>200 KM/Day</t>
  </si>
  <si>
    <t>Hilly Road</t>
  </si>
  <si>
    <t>150 KM/Day</t>
  </si>
  <si>
    <t>DISTANCE &amp; SPEED CALCULATOR</t>
  </si>
  <si>
    <t>Jungle Area</t>
  </si>
  <si>
    <t>100 KM/Day</t>
  </si>
  <si>
    <t>Hilly &amp; Jungly</t>
  </si>
  <si>
    <t>75KM/Day</t>
  </si>
  <si>
    <t>Distance (in KM)</t>
  </si>
  <si>
    <t>Time Required (in Days)</t>
  </si>
  <si>
    <t>National Highway (NH)</t>
  </si>
  <si>
    <t>Major Raods(MR)</t>
  </si>
  <si>
    <t>Hilly Roads (HR)</t>
  </si>
  <si>
    <t>Jungle Area (JA)</t>
  </si>
  <si>
    <t>Hilly and Jungle (H&amp;J)</t>
  </si>
  <si>
    <t>Total</t>
  </si>
  <si>
    <t>SKU CALCULATOR</t>
  </si>
  <si>
    <t>AVG Consumption (during Replenishment Period)</t>
  </si>
  <si>
    <t>No. of SKUs</t>
  </si>
  <si>
    <t>C9</t>
  </si>
  <si>
    <t>Total No</t>
  </si>
  <si>
    <t>coimbatore</t>
  </si>
  <si>
    <t>AU</t>
  </si>
  <si>
    <t>Dealer</t>
  </si>
  <si>
    <t>Distance</t>
  </si>
  <si>
    <t>256 KM (NH &amp;MR)</t>
  </si>
  <si>
    <t>Madurai</t>
  </si>
  <si>
    <t>pondichery</t>
  </si>
  <si>
    <t>tirupathi, pondichery</t>
  </si>
  <si>
    <t>344,0 (MR)</t>
  </si>
  <si>
    <t>WH</t>
  </si>
  <si>
    <t>thiruvanandhapuram</t>
  </si>
  <si>
    <t>capacity</t>
  </si>
  <si>
    <t>karaikudi, tuticurin</t>
  </si>
  <si>
    <t>81, 199 (NH &amp; MR)</t>
  </si>
  <si>
    <t>&lt;400</t>
  </si>
  <si>
    <t>madurai</t>
  </si>
  <si>
    <t>Supplier</t>
  </si>
  <si>
    <t>dindigul</t>
  </si>
  <si>
    <t>tiruvanadhapuram,coimbatore</t>
  </si>
  <si>
    <t>620 units/month</t>
  </si>
  <si>
    <t>madurai, pondichery</t>
  </si>
  <si>
    <t>total</t>
  </si>
  <si>
    <t xml:space="preserve"> coimbatore</t>
  </si>
  <si>
    <t>rameshwaram, thiruvanandhapuram, cochin</t>
  </si>
  <si>
    <t>DISTANCE MATRIX</t>
  </si>
  <si>
    <t>Thiruvananthapuram</t>
  </si>
  <si>
    <t>Tuticorin</t>
  </si>
  <si>
    <t>Total Distance Travelling:</t>
  </si>
  <si>
    <t>Allocation MATRIX</t>
  </si>
  <si>
    <t>best cost = around 25l per month</t>
  </si>
  <si>
    <t>FTL</t>
  </si>
  <si>
    <t>per truck per km : no of shipments per month</t>
  </si>
  <si>
    <t>based on sku</t>
  </si>
  <si>
    <t>warehouse 1</t>
  </si>
  <si>
    <r>
      <t>W1 (Dindigul)</t>
    </r>
    <r>
      <rPr>
        <sz val="11"/>
        <color theme="1"/>
        <rFont val="Calibri"/>
        <family val="2"/>
        <scheme val="minor"/>
      </rPr>
      <t xml:space="preserve"> → AU2 (Trichy) – 380 units/month</t>
    </r>
  </si>
  <si>
    <r>
      <t>W2 (Salem)</t>
    </r>
    <r>
      <rPr>
        <sz val="11"/>
        <color theme="1"/>
        <rFont val="Calibri"/>
        <family val="2"/>
        <scheme val="minor"/>
      </rPr>
      <t xml:space="preserve"> → AU4 (Salem) – 380 units/month</t>
    </r>
  </si>
  <si>
    <r>
      <t>W3 (Trichy)</t>
    </r>
    <r>
      <rPr>
        <sz val="11"/>
        <color theme="1"/>
        <rFont val="Calibri"/>
        <family val="2"/>
        <scheme val="minor"/>
      </rPr>
      <t xml:space="preserve"> → AU3 (Coimbatore) – 300 units/month</t>
    </r>
  </si>
  <si>
    <r>
      <t>W4 (Madurai)</t>
    </r>
    <r>
      <rPr>
        <sz val="11"/>
        <color theme="1"/>
        <rFont val="Calibri"/>
        <family val="2"/>
        <scheme val="minor"/>
      </rPr>
      <t xml:space="preserve"> → AU1 (Thiruvananthapuram) – 360 units/month</t>
    </r>
  </si>
  <si>
    <r>
      <t>W5 (Tirunelveli)</t>
    </r>
    <r>
      <rPr>
        <sz val="11"/>
        <color theme="1"/>
        <rFont val="Calibri"/>
        <family val="2"/>
        <scheme val="minor"/>
      </rPr>
      <t xml:space="preserve"> → AU1 partial – 180 units/month</t>
    </r>
  </si>
  <si>
    <t>AU1 → Thiruvananthapuram</t>
  </si>
  <si>
    <t>AU2 → Trichy</t>
  </si>
  <si>
    <t>AU3 → Coimbatore</t>
  </si>
  <si>
    <t>AU4 → Salem</t>
  </si>
  <si>
    <t>W1 → Dindigul</t>
  </si>
  <si>
    <t>W2 → Salem</t>
  </si>
  <si>
    <t>W3 → Trichy</t>
  </si>
  <si>
    <t>W4 → Madurai</t>
  </si>
  <si>
    <t>W5 → Tirunelveli</t>
  </si>
  <si>
    <t>warehouse 2</t>
  </si>
  <si>
    <t>warehouse 3</t>
  </si>
  <si>
    <t>warehouse 4</t>
  </si>
  <si>
    <t>warehouse 5</t>
  </si>
  <si>
    <t>Kanyakumari Cluster</t>
  </si>
  <si>
    <t>Chennai Cluster</t>
  </si>
  <si>
    <t>Hosur Cluster</t>
  </si>
  <si>
    <t>Distance (km)</t>
  </si>
  <si>
    <t>S3 ➝ W1 (Dindigul)</t>
  </si>
  <si>
    <t>330 km</t>
  </si>
  <si>
    <t>S3 ➝ W2 (Salem)</t>
  </si>
  <si>
    <t>200 km</t>
  </si>
  <si>
    <t>S3 ➝ W3 (Trichy)</t>
  </si>
  <si>
    <t>310 km</t>
  </si>
  <si>
    <t>S3 ➝ W4 (Madurai)</t>
  </si>
  <si>
    <t>410 km</t>
  </si>
  <si>
    <t>S3 ➝ W5 (Tirunelveli)</t>
  </si>
  <si>
    <t>470 km</t>
  </si>
  <si>
    <t>Subtotal</t>
  </si>
  <si>
    <t>1,720 km</t>
  </si>
  <si>
    <t>Warehouse ➝ AU</t>
  </si>
  <si>
    <t>W1 ➝ AU2 (Trichy)</t>
  </si>
  <si>
    <t>110 km</t>
  </si>
  <si>
    <t>W2 ➝ AU4 (Salem)</t>
  </si>
  <si>
    <t>20 km</t>
  </si>
  <si>
    <t>W3 ➝ AU3 (Coimbatore)</t>
  </si>
  <si>
    <t>215 km</t>
  </si>
  <si>
    <t>W4 ➝ AU1 (TVM)</t>
  </si>
  <si>
    <t>260 km</t>
  </si>
  <si>
    <t>W5 ➝ AU1 (TVM – Shared)</t>
  </si>
  <si>
    <t>90 km</t>
  </si>
  <si>
    <t>695 km</t>
  </si>
  <si>
    <t>AU ➝ Dealer Zone</t>
  </si>
  <si>
    <t>No. of Dealers</t>
  </si>
  <si>
    <t>Avg. Distance</t>
  </si>
  <si>
    <t>Trips (1 per 3 units)</t>
  </si>
  <si>
    <t>Distance Total</t>
  </si>
  <si>
    <t>AU1 ➝ Rameshwaram, Tuticorin, TVM (360 units)</t>
  </si>
  <si>
    <t>~150 km</t>
  </si>
  <si>
    <t>360 ÷ 3 = 120 trips</t>
  </si>
  <si>
    <t>120 × 150 = 18,000 km</t>
  </si>
  <si>
    <t>AU2 ➝ Pondy, Karaikudi (380 units)</t>
  </si>
  <si>
    <t>~180 km</t>
  </si>
  <si>
    <t>127 trips</t>
  </si>
  <si>
    <t>127 × 180 = 22,860 km</t>
  </si>
  <si>
    <t>AU3 ➝ Coimbatore (300 units)</t>
  </si>
  <si>
    <t>~10 km</t>
  </si>
  <si>
    <t>100 trips</t>
  </si>
  <si>
    <t>100 × 10 = 1,000 km</t>
  </si>
  <si>
    <t>AU4 ➝ Cochin, Tirupati (380 units)</t>
  </si>
  <si>
    <t>~200 km</t>
  </si>
  <si>
    <t>127 × 200 = 25,400 km</t>
  </si>
  <si>
    <t>—</t>
  </si>
  <si>
    <t>67,260 km</t>
  </si>
  <si>
    <t>Segment</t>
  </si>
  <si>
    <t>Supplier ➝ Warehouse</t>
  </si>
  <si>
    <t>AU ➝ Dealers</t>
  </si>
  <si>
    <t>Total Distance</t>
  </si>
  <si>
    <t>69,675 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</si>
</sst>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28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Times New Roman"/>
      <family val="1"/>
    </font>
    <font>
      <sz val="9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0.59999389629810485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15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center" vertical="center"/>
    </xf>
    <xf numFmtId="1" fontId="0" fillId="3" borderId="1" xfId="0" applyNumberFormat="1" applyFill="1" applyBorder="1" applyAlignment="1">
      <alignment horizontal="center" vertical="center"/>
    </xf>
    <xf numFmtId="0" fontId="4" fillId="0" borderId="21" xfId="0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5" fillId="0" borderId="22" xfId="0" applyFont="1" applyBorder="1" applyAlignment="1">
      <alignment horizontal="center" wrapText="1"/>
    </xf>
    <xf numFmtId="0" fontId="5" fillId="0" borderId="23" xfId="0" applyFont="1" applyBorder="1" applyAlignment="1">
      <alignment horizontal="center" wrapText="1"/>
    </xf>
    <xf numFmtId="0" fontId="5" fillId="0" borderId="21" xfId="0" applyFont="1" applyBorder="1" applyAlignment="1">
      <alignment horizontal="center"/>
    </xf>
    <xf numFmtId="0" fontId="4" fillId="0" borderId="22" xfId="0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4" fillId="0" borderId="21" xfId="0" applyFont="1" applyBorder="1"/>
    <xf numFmtId="0" fontId="0" fillId="0" borderId="22" xfId="0" applyBorder="1"/>
    <xf numFmtId="0" fontId="4" fillId="0" borderId="22" xfId="0" applyFont="1" applyBorder="1"/>
    <xf numFmtId="0" fontId="5" fillId="0" borderId="24" xfId="0" applyFont="1" applyBorder="1" applyAlignment="1">
      <alignment horizontal="center"/>
    </xf>
    <xf numFmtId="0" fontId="4" fillId="0" borderId="25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24" xfId="0" applyFont="1" applyBorder="1"/>
    <xf numFmtId="0" fontId="4" fillId="0" borderId="25" xfId="0" applyFont="1" applyBorder="1"/>
    <xf numFmtId="0" fontId="5" fillId="0" borderId="2" xfId="0" applyFont="1" applyBorder="1" applyAlignment="1">
      <alignment horizontal="center"/>
    </xf>
    <xf numFmtId="0" fontId="4" fillId="0" borderId="11" xfId="0" applyFont="1" applyBorder="1"/>
    <xf numFmtId="0" fontId="5" fillId="0" borderId="22" xfId="0" applyFont="1" applyBorder="1"/>
    <xf numFmtId="0" fontId="4" fillId="0" borderId="22" xfId="0" applyFont="1" applyBorder="1" applyAlignment="1">
      <alignment horizontal="center" wrapText="1"/>
    </xf>
    <xf numFmtId="0" fontId="0" fillId="0" borderId="22" xfId="0" applyBorder="1" applyAlignment="1">
      <alignment wrapText="1"/>
    </xf>
    <xf numFmtId="0" fontId="1" fillId="0" borderId="14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3" borderId="1" xfId="0" applyFill="1" applyBorder="1"/>
    <xf numFmtId="0" fontId="0" fillId="3" borderId="1" xfId="0" applyFill="1" applyBorder="1" applyAlignment="1">
      <alignment horizontal="center" vertical="center"/>
    </xf>
    <xf numFmtId="1" fontId="0" fillId="0" borderId="0" xfId="0" applyNumberFormat="1" applyAlignment="1">
      <alignment horizontal="center"/>
    </xf>
    <xf numFmtId="0" fontId="8" fillId="2" borderId="18" xfId="0" applyFont="1" applyFill="1" applyBorder="1" applyAlignment="1">
      <alignment horizontal="center" vertical="center" wrapText="1"/>
    </xf>
    <xf numFmtId="0" fontId="1" fillId="3" borderId="1" xfId="0" applyFont="1" applyFill="1" applyBorder="1"/>
    <xf numFmtId="0" fontId="0" fillId="3" borderId="4" xfId="0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5" borderId="19" xfId="0" applyFont="1" applyFill="1" applyBorder="1" applyAlignment="1">
      <alignment horizontal="center" vertical="center" wrapText="1"/>
    </xf>
    <xf numFmtId="0" fontId="0" fillId="6" borderId="26" xfId="0" applyFill="1" applyBorder="1" applyAlignment="1">
      <alignment horizontal="center" vertical="center"/>
    </xf>
    <xf numFmtId="0" fontId="10" fillId="0" borderId="30" xfId="0" applyFont="1" applyBorder="1" applyAlignment="1">
      <alignment vertical="center" wrapText="1"/>
    </xf>
    <xf numFmtId="0" fontId="1" fillId="0" borderId="31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left" vertical="center" wrapText="1" indent="1"/>
    </xf>
    <xf numFmtId="0" fontId="1" fillId="0" borderId="30" xfId="0" applyFont="1" applyBorder="1" applyAlignment="1">
      <alignment horizontal="center" vertical="center" wrapText="1"/>
    </xf>
    <xf numFmtId="0" fontId="10" fillId="0" borderId="31" xfId="0" applyFont="1" applyBorder="1" applyAlignment="1">
      <alignment vertical="center" wrapText="1"/>
    </xf>
    <xf numFmtId="0" fontId="11" fillId="0" borderId="30" xfId="0" applyFont="1" applyBorder="1" applyAlignment="1">
      <alignment vertical="center" wrapText="1"/>
    </xf>
    <xf numFmtId="0" fontId="11" fillId="0" borderId="31" xfId="0" applyFont="1" applyBorder="1" applyAlignment="1">
      <alignment vertical="center" wrapText="1"/>
    </xf>
    <xf numFmtId="0" fontId="1" fillId="0" borderId="0" xfId="0" applyFont="1" applyAlignment="1">
      <alignment horizontal="left" vertical="center" indent="9"/>
    </xf>
    <xf numFmtId="0" fontId="1" fillId="0" borderId="0" xfId="0" applyFont="1" applyAlignment="1">
      <alignment horizontal="left" vertical="center" wrapText="1" indent="1"/>
    </xf>
    <xf numFmtId="0" fontId="1" fillId="3" borderId="12" xfId="0" applyFont="1" applyFill="1" applyBorder="1" applyAlignment="1">
      <alignment horizontal="center"/>
    </xf>
    <xf numFmtId="0" fontId="1" fillId="3" borderId="16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2" fillId="3" borderId="12" xfId="0" applyFont="1" applyFill="1" applyBorder="1" applyAlignment="1">
      <alignment horizontal="center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5" fillId="3" borderId="27" xfId="0" applyFont="1" applyFill="1" applyBorder="1" applyAlignment="1">
      <alignment horizontal="center" vertical="center" wrapText="1"/>
    </xf>
    <xf numFmtId="0" fontId="5" fillId="3" borderId="28" xfId="0" applyFont="1" applyFill="1" applyBorder="1" applyAlignment="1">
      <alignment horizontal="center" vertical="center" wrapText="1"/>
    </xf>
    <xf numFmtId="0" fontId="5" fillId="3" borderId="29" xfId="0" applyFont="1" applyFill="1" applyBorder="1" applyAlignment="1">
      <alignment horizontal="center" vertical="center" wrapText="1"/>
    </xf>
    <xf numFmtId="0" fontId="1" fillId="0" borderId="27" xfId="0" applyFont="1" applyBorder="1" applyAlignment="1">
      <alignment horizontal="left" vertical="center" wrapText="1" indent="9"/>
    </xf>
    <xf numFmtId="0" fontId="1" fillId="0" borderId="28" xfId="0" applyFont="1" applyBorder="1" applyAlignment="1">
      <alignment horizontal="left" vertical="center" wrapText="1" indent="9"/>
    </xf>
    <xf numFmtId="0" fontId="1" fillId="0" borderId="29" xfId="0" applyFont="1" applyBorder="1" applyAlignment="1">
      <alignment horizontal="left" vertical="center" wrapText="1" indent="9"/>
    </xf>
    <xf numFmtId="0" fontId="1" fillId="3" borderId="9" xfId="0" applyFont="1" applyFill="1" applyBorder="1" applyAlignment="1">
      <alignment horizontal="center"/>
    </xf>
    <xf numFmtId="0" fontId="1" fillId="3" borderId="17" xfId="0" applyFont="1" applyFill="1" applyBorder="1" applyAlignment="1">
      <alignment horizontal="center"/>
    </xf>
    <xf numFmtId="0" fontId="1" fillId="3" borderId="18" xfId="0" applyFont="1" applyFill="1" applyBorder="1" applyAlignment="1">
      <alignment horizontal="center"/>
    </xf>
    <xf numFmtId="0" fontId="1" fillId="3" borderId="19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6" fillId="3" borderId="9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7" fillId="3" borderId="9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0" xfId="0" applyFont="1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3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"/>
  <sheetViews>
    <sheetView zoomScaleNormal="100" workbookViewId="0">
      <selection activeCell="S9" sqref="S9"/>
    </sheetView>
  </sheetViews>
  <sheetFormatPr defaultRowHeight="14.4" x14ac:dyDescent="0.3"/>
  <cols>
    <col min="1" max="1" width="8" customWidth="1"/>
    <col min="2" max="2" width="11" customWidth="1"/>
    <col min="3" max="3" width="6.109375" customWidth="1"/>
    <col min="4" max="4" width="6.88671875" customWidth="1"/>
    <col min="5" max="5" width="6.33203125" customWidth="1"/>
    <col min="6" max="6" width="6.88671875" customWidth="1"/>
    <col min="7" max="7" width="6.6640625" customWidth="1"/>
    <col min="8" max="8" width="7.44140625" customWidth="1"/>
    <col min="9" max="9" width="6.88671875" customWidth="1"/>
    <col min="10" max="12" width="7" customWidth="1"/>
    <col min="13" max="13" width="10.6640625" customWidth="1"/>
    <col min="14" max="14" width="13" customWidth="1"/>
    <col min="15" max="15" width="5" customWidth="1"/>
    <col min="16" max="16" width="4.6640625" customWidth="1"/>
    <col min="17" max="17" width="5.88671875" customWidth="1"/>
    <col min="18" max="18" width="5.5546875" customWidth="1"/>
    <col min="19" max="19" width="6.109375" customWidth="1"/>
    <col min="20" max="20" width="12.109375" customWidth="1"/>
    <col min="21" max="21" width="12.44140625" customWidth="1"/>
    <col min="22" max="22" width="23" customWidth="1"/>
  </cols>
  <sheetData>
    <row r="1" spans="1:22" ht="15" thickBot="1" x14ac:dyDescent="0.35">
      <c r="D1" s="63" t="s">
        <v>0</v>
      </c>
      <c r="E1" s="64"/>
      <c r="F1" s="64"/>
      <c r="G1" s="64"/>
      <c r="H1" s="64"/>
      <c r="I1" s="64"/>
      <c r="J1" s="65"/>
      <c r="K1" s="65"/>
      <c r="L1" s="65"/>
      <c r="M1" s="65"/>
      <c r="N1" s="65"/>
      <c r="O1" s="65"/>
      <c r="P1" s="65"/>
      <c r="Q1" s="65"/>
      <c r="R1" s="65"/>
      <c r="S1" s="65"/>
      <c r="T1" s="66"/>
    </row>
    <row r="2" spans="1:22" ht="46.5" customHeight="1" thickBot="1" x14ac:dyDescent="0.35">
      <c r="C2" s="67" t="s">
        <v>1</v>
      </c>
      <c r="D2" s="68"/>
      <c r="E2" s="68"/>
      <c r="F2" s="68"/>
      <c r="G2" s="68"/>
      <c r="H2" s="68"/>
      <c r="I2" s="69"/>
      <c r="J2" s="2"/>
      <c r="K2" s="2"/>
      <c r="L2" s="2"/>
      <c r="M2" s="1"/>
      <c r="N2" t="s">
        <v>2</v>
      </c>
      <c r="O2" s="67" t="s">
        <v>3</v>
      </c>
      <c r="P2" s="68"/>
      <c r="Q2" s="68"/>
      <c r="R2" s="68"/>
      <c r="S2" s="69"/>
    </row>
    <row r="3" spans="1:22" ht="63" thickBot="1" x14ac:dyDescent="0.35">
      <c r="A3" s="13" t="s">
        <v>4</v>
      </c>
      <c r="B3" s="14" t="s">
        <v>5</v>
      </c>
      <c r="C3" s="14" t="s">
        <v>6</v>
      </c>
      <c r="D3" s="14" t="s">
        <v>7</v>
      </c>
      <c r="E3" s="14" t="s">
        <v>8</v>
      </c>
      <c r="F3" s="14" t="s">
        <v>7</v>
      </c>
      <c r="G3" s="14" t="s">
        <v>9</v>
      </c>
      <c r="H3" s="14" t="s">
        <v>7</v>
      </c>
      <c r="I3" s="14" t="s">
        <v>10</v>
      </c>
      <c r="J3" s="14" t="s">
        <v>7</v>
      </c>
      <c r="K3" s="14" t="s">
        <v>11</v>
      </c>
      <c r="L3" s="14" t="s">
        <v>7</v>
      </c>
      <c r="M3" s="14" t="s">
        <v>12</v>
      </c>
      <c r="N3" s="14" t="s">
        <v>13</v>
      </c>
      <c r="O3" s="47" t="s">
        <v>14</v>
      </c>
      <c r="P3" s="14" t="s">
        <v>15</v>
      </c>
      <c r="Q3" s="14" t="s">
        <v>16</v>
      </c>
      <c r="R3" s="14" t="s">
        <v>17</v>
      </c>
      <c r="S3" s="14" t="s">
        <v>18</v>
      </c>
      <c r="T3" s="14" t="s">
        <v>19</v>
      </c>
      <c r="U3" s="14" t="s">
        <v>20</v>
      </c>
      <c r="V3" s="52" t="s">
        <v>21</v>
      </c>
    </row>
    <row r="4" spans="1:22" ht="24.9" customHeight="1" x14ac:dyDescent="0.3">
      <c r="A4" s="16">
        <v>1</v>
      </c>
      <c r="B4" s="95">
        <v>4</v>
      </c>
      <c r="C4" s="12">
        <v>360</v>
      </c>
      <c r="D4" s="51">
        <f>IF(C4&lt;=40, 12000, IF(C4&lt;=100, C4*300, IF(C4&lt;=200, 30000 + (C4-100)*200, IF(C4&lt;=400, 50000 + (C4-300)*100))))</f>
        <v>56000</v>
      </c>
      <c r="E4" s="12">
        <v>380</v>
      </c>
      <c r="F4" s="51">
        <f>IF(E4&lt;=40, 12000, IF(E4&lt;=100, E4*300, IF(E4&lt;=200, 30000 + (E4-100)*200, IF(E4&lt;=400, 50000 + (E4-300)*100))))</f>
        <v>58000</v>
      </c>
      <c r="G4" s="12">
        <v>300</v>
      </c>
      <c r="H4" s="51">
        <f>IF(G4&lt;=40, 12000, IF(G4&lt;=100, G4*300, IF(G4&lt;=200, 30000 + (G4-100)*200, IF(G4&lt;=400, 50000 + (G4-300)*100))))</f>
        <v>50000</v>
      </c>
      <c r="I4" s="12">
        <v>380</v>
      </c>
      <c r="J4" s="51">
        <f>IF(I4&lt;=40, 12000, IF(I4&lt;=100, I4*300, IF(I4&lt;=200, 30000 + (I4-100)*200, IF(I4&lt;=400, 50000 + (I4-300)*100))))</f>
        <v>58000</v>
      </c>
      <c r="K4" s="3">
        <v>0</v>
      </c>
      <c r="L4" s="51">
        <f>IF(K4&lt;=40, 12000, IF(K4&lt;=100, K4*300, IF(K4&lt;=200, 30000 + (K4-100)*200, IF(K4&lt;=400, 50000 + (K4-300)*100))))</f>
        <v>12000</v>
      </c>
      <c r="M4" s="50">
        <f>D4+F4+H4+J4+L4</f>
        <v>234000</v>
      </c>
      <c r="N4" s="12">
        <v>5</v>
      </c>
      <c r="O4" s="12">
        <v>116</v>
      </c>
      <c r="P4" s="12">
        <v>116</v>
      </c>
      <c r="Q4" s="12">
        <v>91</v>
      </c>
      <c r="R4" s="12">
        <v>109</v>
      </c>
      <c r="S4" s="12">
        <v>55</v>
      </c>
      <c r="T4" s="49">
        <f>((ROUNDUP(SUM(O4:S4),0)/10)*5*30*3)</f>
        <v>21915</v>
      </c>
      <c r="U4" s="49">
        <f>'1'!AJ22</f>
        <v>0</v>
      </c>
      <c r="V4" s="53">
        <f t="shared" ref="V4" si="0">M4+T4+U4</f>
        <v>255915</v>
      </c>
    </row>
  </sheetData>
  <mergeCells count="3">
    <mergeCell ref="D1:T1"/>
    <mergeCell ref="C2:I2"/>
    <mergeCell ref="O2:S2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0588C-3EE3-4AE6-90DA-5164DA49A8E3}">
  <dimension ref="A1:X58"/>
  <sheetViews>
    <sheetView tabSelected="1" workbookViewId="0">
      <selection activeCell="K45" sqref="K45"/>
    </sheetView>
  </sheetViews>
  <sheetFormatPr defaultRowHeight="14.4" x14ac:dyDescent="0.3"/>
  <cols>
    <col min="1" max="1" width="20.6640625" customWidth="1"/>
    <col min="2" max="2" width="47.33203125" bestFit="1" customWidth="1"/>
    <col min="3" max="3" width="24.109375" bestFit="1" customWidth="1"/>
    <col min="4" max="4" width="10.44140625" bestFit="1" customWidth="1"/>
    <col min="5" max="5" width="15.33203125" customWidth="1"/>
    <col min="10" max="10" width="21.21875" customWidth="1"/>
  </cols>
  <sheetData>
    <row r="1" spans="1:8" x14ac:dyDescent="0.3">
      <c r="A1" t="s">
        <v>86</v>
      </c>
      <c r="B1" t="s">
        <v>87</v>
      </c>
      <c r="C1" t="s">
        <v>88</v>
      </c>
      <c r="E1" t="s">
        <v>96</v>
      </c>
      <c r="F1" t="s">
        <v>106</v>
      </c>
    </row>
    <row r="2" spans="1:8" x14ac:dyDescent="0.3">
      <c r="A2" t="s">
        <v>85</v>
      </c>
      <c r="B2" t="s">
        <v>107</v>
      </c>
      <c r="C2" t="s">
        <v>89</v>
      </c>
      <c r="D2" t="s">
        <v>85</v>
      </c>
      <c r="E2" t="s">
        <v>99</v>
      </c>
      <c r="F2">
        <v>300</v>
      </c>
    </row>
    <row r="3" spans="1:8" x14ac:dyDescent="0.3">
      <c r="A3" t="s">
        <v>90</v>
      </c>
      <c r="B3" t="s">
        <v>97</v>
      </c>
      <c r="C3" t="s">
        <v>98</v>
      </c>
      <c r="E3" t="s">
        <v>99</v>
      </c>
      <c r="F3">
        <v>360</v>
      </c>
    </row>
    <row r="4" spans="1:8" x14ac:dyDescent="0.3">
      <c r="A4" t="s">
        <v>91</v>
      </c>
      <c r="B4" t="s">
        <v>92</v>
      </c>
      <c r="C4" t="s">
        <v>93</v>
      </c>
      <c r="E4" t="s">
        <v>99</v>
      </c>
      <c r="F4">
        <v>300</v>
      </c>
    </row>
    <row r="5" spans="1:8" x14ac:dyDescent="0.3">
      <c r="A5" t="s">
        <v>95</v>
      </c>
      <c r="B5" t="s">
        <v>108</v>
      </c>
      <c r="E5" t="s">
        <v>99</v>
      </c>
      <c r="F5">
        <v>240</v>
      </c>
    </row>
    <row r="7" spans="1:8" x14ac:dyDescent="0.3">
      <c r="A7" t="s">
        <v>94</v>
      </c>
      <c r="B7" t="s">
        <v>86</v>
      </c>
    </row>
    <row r="8" spans="1:8" x14ac:dyDescent="0.3">
      <c r="A8" t="s">
        <v>100</v>
      </c>
      <c r="B8" t="s">
        <v>103</v>
      </c>
      <c r="E8" t="s">
        <v>104</v>
      </c>
    </row>
    <row r="9" spans="1:8" x14ac:dyDescent="0.3">
      <c r="A9" t="s">
        <v>102</v>
      </c>
      <c r="B9" t="s">
        <v>105</v>
      </c>
      <c r="H9" t="s">
        <v>114</v>
      </c>
    </row>
    <row r="14" spans="1:8" x14ac:dyDescent="0.3">
      <c r="A14" t="s">
        <v>101</v>
      </c>
      <c r="B14" t="s">
        <v>94</v>
      </c>
    </row>
    <row r="18" spans="1:24" ht="15" thickBot="1" x14ac:dyDescent="0.35"/>
    <row r="19" spans="1:24" ht="15" thickBot="1" x14ac:dyDescent="0.35">
      <c r="A19" s="70" t="s">
        <v>109</v>
      </c>
      <c r="B19" s="71"/>
      <c r="C19" s="71"/>
      <c r="D19" s="71"/>
      <c r="E19" s="71"/>
      <c r="F19" s="71"/>
      <c r="G19" s="71"/>
      <c r="H19" s="71"/>
      <c r="I19" s="72"/>
    </row>
    <row r="20" spans="1:24" ht="15" thickBot="1" x14ac:dyDescent="0.35">
      <c r="A20" s="54"/>
      <c r="B20" s="55" t="s">
        <v>28</v>
      </c>
      <c r="C20" s="55" t="s">
        <v>29</v>
      </c>
      <c r="D20" s="55" t="s">
        <v>30</v>
      </c>
      <c r="E20" s="56" t="s">
        <v>6</v>
      </c>
      <c r="F20" s="56" t="s">
        <v>8</v>
      </c>
      <c r="G20" s="56" t="s">
        <v>9</v>
      </c>
      <c r="H20" s="56" t="s">
        <v>10</v>
      </c>
      <c r="I20" s="56" t="s">
        <v>11</v>
      </c>
    </row>
    <row r="21" spans="1:24" ht="15" thickBot="1" x14ac:dyDescent="0.35">
      <c r="A21" s="57" t="s">
        <v>14</v>
      </c>
      <c r="B21" s="97">
        <v>390</v>
      </c>
      <c r="C21" s="58">
        <v>360</v>
      </c>
      <c r="D21" s="58">
        <v>330</v>
      </c>
      <c r="E21" s="58">
        <v>270</v>
      </c>
      <c r="F21" s="58">
        <v>110</v>
      </c>
      <c r="G21" s="58">
        <v>150</v>
      </c>
      <c r="H21" s="58">
        <v>135</v>
      </c>
      <c r="I21" s="58">
        <v>0</v>
      </c>
    </row>
    <row r="22" spans="1:24" ht="43.8" thickBot="1" x14ac:dyDescent="0.35">
      <c r="A22" s="57" t="s">
        <v>15</v>
      </c>
      <c r="B22" s="97">
        <v>470</v>
      </c>
      <c r="C22" s="58">
        <v>340</v>
      </c>
      <c r="D22" s="58">
        <v>200</v>
      </c>
      <c r="E22" s="58">
        <v>390</v>
      </c>
      <c r="F22" s="58">
        <v>160</v>
      </c>
      <c r="G22" s="58">
        <v>200</v>
      </c>
      <c r="H22" s="58">
        <v>20</v>
      </c>
      <c r="I22" s="58">
        <v>0</v>
      </c>
      <c r="K22" s="2" t="s">
        <v>56</v>
      </c>
      <c r="L22" s="2" t="s">
        <v>140</v>
      </c>
      <c r="N22" s="2" t="s">
        <v>153</v>
      </c>
      <c r="O22" s="2" t="s">
        <v>140</v>
      </c>
      <c r="Q22" s="2" t="s">
        <v>165</v>
      </c>
      <c r="R22" s="2" t="s">
        <v>166</v>
      </c>
      <c r="S22" s="2" t="s">
        <v>167</v>
      </c>
      <c r="T22" s="2" t="s">
        <v>168</v>
      </c>
      <c r="U22" s="2" t="s">
        <v>169</v>
      </c>
      <c r="W22" s="2" t="s">
        <v>187</v>
      </c>
      <c r="X22" s="2" t="s">
        <v>140</v>
      </c>
    </row>
    <row r="23" spans="1:24" ht="87" thickBot="1" x14ac:dyDescent="0.35">
      <c r="A23" s="57" t="s">
        <v>16</v>
      </c>
      <c r="B23" s="97">
        <v>410</v>
      </c>
      <c r="C23" s="58">
        <v>310</v>
      </c>
      <c r="D23" s="58">
        <v>310</v>
      </c>
      <c r="E23" s="58">
        <v>300</v>
      </c>
      <c r="F23" s="58">
        <v>0</v>
      </c>
      <c r="G23" s="58">
        <v>215</v>
      </c>
      <c r="H23" s="58">
        <v>100</v>
      </c>
      <c r="I23" s="58">
        <v>0</v>
      </c>
      <c r="K23" s="97" t="s">
        <v>141</v>
      </c>
      <c r="L23" s="97" t="s">
        <v>142</v>
      </c>
      <c r="N23" s="97" t="s">
        <v>154</v>
      </c>
      <c r="O23" s="97" t="s">
        <v>155</v>
      </c>
      <c r="Q23" s="97" t="s">
        <v>170</v>
      </c>
      <c r="R23" s="97">
        <v>3</v>
      </c>
      <c r="S23" s="97" t="s">
        <v>171</v>
      </c>
      <c r="T23" s="97" t="s">
        <v>172</v>
      </c>
      <c r="U23" s="97" t="s">
        <v>173</v>
      </c>
      <c r="W23" s="97" t="s">
        <v>188</v>
      </c>
      <c r="X23" s="99">
        <v>1720</v>
      </c>
    </row>
    <row r="24" spans="1:24" ht="72.599999999999994" thickBot="1" x14ac:dyDescent="0.35">
      <c r="A24" s="57" t="s">
        <v>17</v>
      </c>
      <c r="B24" s="97">
        <v>330</v>
      </c>
      <c r="C24" s="58">
        <v>420</v>
      </c>
      <c r="D24" s="58">
        <v>410</v>
      </c>
      <c r="E24" s="58">
        <v>260</v>
      </c>
      <c r="F24" s="58">
        <v>140</v>
      </c>
      <c r="G24" s="58">
        <v>225</v>
      </c>
      <c r="H24" s="58">
        <v>180</v>
      </c>
      <c r="I24" s="58">
        <v>0</v>
      </c>
      <c r="K24" s="97" t="s">
        <v>143</v>
      </c>
      <c r="L24" s="97" t="s">
        <v>144</v>
      </c>
      <c r="N24" s="97" t="s">
        <v>156</v>
      </c>
      <c r="O24" s="97" t="s">
        <v>157</v>
      </c>
      <c r="Q24" s="97" t="s">
        <v>174</v>
      </c>
      <c r="R24" s="97">
        <v>2</v>
      </c>
      <c r="S24" s="97" t="s">
        <v>175</v>
      </c>
      <c r="T24" s="97" t="s">
        <v>176</v>
      </c>
      <c r="U24" s="97" t="s">
        <v>177</v>
      </c>
      <c r="W24" s="97" t="s">
        <v>153</v>
      </c>
      <c r="X24" s="97">
        <v>695</v>
      </c>
    </row>
    <row r="25" spans="1:24" ht="58.2" thickBot="1" x14ac:dyDescent="0.35">
      <c r="A25" s="57" t="s">
        <v>18</v>
      </c>
      <c r="B25" s="97">
        <v>140</v>
      </c>
      <c r="C25" s="58">
        <v>510</v>
      </c>
      <c r="D25" s="58">
        <v>470</v>
      </c>
      <c r="E25" s="58">
        <v>90</v>
      </c>
      <c r="F25" s="58">
        <v>220</v>
      </c>
      <c r="G25" s="58">
        <v>300</v>
      </c>
      <c r="H25" s="58">
        <v>280</v>
      </c>
      <c r="I25" s="58">
        <v>0</v>
      </c>
      <c r="K25" s="97" t="s">
        <v>145</v>
      </c>
      <c r="L25" s="97" t="s">
        <v>146</v>
      </c>
      <c r="N25" s="97" t="s">
        <v>158</v>
      </c>
      <c r="O25" s="97" t="s">
        <v>159</v>
      </c>
      <c r="Q25" s="97" t="s">
        <v>178</v>
      </c>
      <c r="R25" s="97">
        <v>1</v>
      </c>
      <c r="S25" s="97" t="s">
        <v>179</v>
      </c>
      <c r="T25" s="97" t="s">
        <v>180</v>
      </c>
      <c r="U25" s="97" t="s">
        <v>181</v>
      </c>
      <c r="W25" s="97" t="s">
        <v>189</v>
      </c>
      <c r="X25" s="99">
        <v>67260</v>
      </c>
    </row>
    <row r="26" spans="1:24" ht="72.599999999999994" thickBot="1" x14ac:dyDescent="0.35">
      <c r="A26" s="57" t="s">
        <v>31</v>
      </c>
      <c r="B26" s="97">
        <v>620</v>
      </c>
      <c r="C26" s="58">
        <v>150</v>
      </c>
      <c r="D26" s="58">
        <v>220</v>
      </c>
      <c r="E26" s="58">
        <v>690</v>
      </c>
      <c r="F26" s="58">
        <v>330</v>
      </c>
      <c r="G26" s="58">
        <v>440</v>
      </c>
      <c r="H26" s="58">
        <v>230</v>
      </c>
      <c r="I26" s="58">
        <v>0</v>
      </c>
      <c r="K26" s="97" t="s">
        <v>147</v>
      </c>
      <c r="L26" s="97" t="s">
        <v>148</v>
      </c>
      <c r="N26" s="97" t="s">
        <v>160</v>
      </c>
      <c r="O26" s="97" t="s">
        <v>161</v>
      </c>
      <c r="Q26" s="97" t="s">
        <v>182</v>
      </c>
      <c r="R26" s="97">
        <v>2</v>
      </c>
      <c r="S26" s="97" t="s">
        <v>183</v>
      </c>
      <c r="T26" s="97" t="s">
        <v>176</v>
      </c>
      <c r="U26" s="97" t="s">
        <v>184</v>
      </c>
      <c r="W26" s="98" t="s">
        <v>190</v>
      </c>
      <c r="X26" s="98" t="s">
        <v>191</v>
      </c>
    </row>
    <row r="27" spans="1:24" ht="58.2" thickBot="1" x14ac:dyDescent="0.35">
      <c r="A27" s="57" t="s">
        <v>33</v>
      </c>
      <c r="B27" s="97">
        <v>420</v>
      </c>
      <c r="C27" s="58">
        <v>500</v>
      </c>
      <c r="D27" s="58">
        <v>330</v>
      </c>
      <c r="E27" s="58">
        <v>400</v>
      </c>
      <c r="F27" s="58">
        <v>200</v>
      </c>
      <c r="G27" s="58">
        <v>0</v>
      </c>
      <c r="H27" s="58">
        <v>160</v>
      </c>
      <c r="I27" s="58">
        <v>0</v>
      </c>
      <c r="K27" s="97" t="s">
        <v>149</v>
      </c>
      <c r="L27" s="97" t="s">
        <v>150</v>
      </c>
      <c r="N27" s="97" t="s">
        <v>162</v>
      </c>
      <c r="O27" s="97" t="s">
        <v>163</v>
      </c>
      <c r="Q27" s="98" t="s">
        <v>151</v>
      </c>
      <c r="R27" s="97" t="s">
        <v>185</v>
      </c>
      <c r="S27" s="97" t="s">
        <v>185</v>
      </c>
      <c r="T27" s="97" t="s">
        <v>185</v>
      </c>
      <c r="U27" s="98" t="s">
        <v>186</v>
      </c>
    </row>
    <row r="28" spans="1:24" ht="15" thickBot="1" x14ac:dyDescent="0.35">
      <c r="A28" s="57" t="s">
        <v>35</v>
      </c>
      <c r="B28" s="97">
        <v>225</v>
      </c>
      <c r="C28" s="58">
        <v>340</v>
      </c>
      <c r="D28" s="58">
        <v>400</v>
      </c>
      <c r="E28" s="58">
        <v>300</v>
      </c>
      <c r="F28" s="58">
        <v>120</v>
      </c>
      <c r="G28" s="58">
        <v>180</v>
      </c>
      <c r="H28" s="58">
        <v>150</v>
      </c>
      <c r="I28" s="58">
        <v>0</v>
      </c>
      <c r="K28" s="98" t="s">
        <v>151</v>
      </c>
      <c r="L28" s="98" t="s">
        <v>152</v>
      </c>
      <c r="N28" s="98" t="s">
        <v>151</v>
      </c>
      <c r="O28" s="98" t="s">
        <v>164</v>
      </c>
    </row>
    <row r="29" spans="1:24" ht="15" thickBot="1" x14ac:dyDescent="0.35">
      <c r="A29" s="57" t="s">
        <v>110</v>
      </c>
      <c r="B29" s="97">
        <v>110</v>
      </c>
      <c r="C29" s="58">
        <v>710</v>
      </c>
      <c r="D29" s="58">
        <v>620</v>
      </c>
      <c r="E29" s="58">
        <v>0</v>
      </c>
      <c r="F29" s="58">
        <v>350</v>
      </c>
      <c r="G29" s="58">
        <v>410</v>
      </c>
      <c r="H29" s="58">
        <v>430</v>
      </c>
      <c r="I29" s="58">
        <v>0</v>
      </c>
    </row>
    <row r="30" spans="1:24" ht="15" thickBot="1" x14ac:dyDescent="0.35">
      <c r="A30" s="57" t="s">
        <v>39</v>
      </c>
      <c r="B30" s="97">
        <v>220</v>
      </c>
      <c r="C30" s="58">
        <v>410</v>
      </c>
      <c r="D30" s="58">
        <v>470</v>
      </c>
      <c r="E30" s="58">
        <v>300</v>
      </c>
      <c r="F30" s="58">
        <v>190</v>
      </c>
      <c r="G30" s="58">
        <v>270</v>
      </c>
      <c r="H30" s="58">
        <v>250</v>
      </c>
      <c r="I30" s="58">
        <v>0</v>
      </c>
    </row>
    <row r="31" spans="1:24" ht="15" thickBot="1" x14ac:dyDescent="0.35">
      <c r="A31" s="57" t="s">
        <v>111</v>
      </c>
      <c r="B31" s="97">
        <v>180</v>
      </c>
      <c r="C31" s="58">
        <v>460</v>
      </c>
      <c r="D31" s="58">
        <v>430</v>
      </c>
      <c r="E31" s="58">
        <v>130</v>
      </c>
      <c r="F31" s="58">
        <v>220</v>
      </c>
      <c r="G31" s="58">
        <v>290</v>
      </c>
      <c r="H31" s="58">
        <v>270</v>
      </c>
      <c r="I31" s="58">
        <v>0</v>
      </c>
    </row>
    <row r="32" spans="1:24" ht="15" thickBot="1" x14ac:dyDescent="0.35">
      <c r="A32" s="57" t="s">
        <v>43</v>
      </c>
      <c r="B32" s="97">
        <v>240</v>
      </c>
      <c r="C32" s="58">
        <v>660</v>
      </c>
      <c r="D32" s="58">
        <v>450</v>
      </c>
      <c r="E32" s="58">
        <v>210</v>
      </c>
      <c r="F32" s="58">
        <v>270</v>
      </c>
      <c r="G32" s="58">
        <v>190</v>
      </c>
      <c r="H32" s="58">
        <v>350</v>
      </c>
      <c r="I32" s="58">
        <v>0</v>
      </c>
    </row>
    <row r="33" spans="1:11" ht="15" thickBot="1" x14ac:dyDescent="0.35">
      <c r="A33" s="57" t="s">
        <v>45</v>
      </c>
      <c r="B33" s="97">
        <v>490</v>
      </c>
      <c r="C33" s="58">
        <v>160</v>
      </c>
      <c r="D33" s="58">
        <v>290</v>
      </c>
      <c r="E33" s="58">
        <v>570</v>
      </c>
      <c r="F33" s="58">
        <v>190</v>
      </c>
      <c r="G33" s="58">
        <v>260</v>
      </c>
      <c r="H33" s="58">
        <v>180</v>
      </c>
      <c r="I33" s="58">
        <v>0</v>
      </c>
    </row>
    <row r="34" spans="1:11" ht="15" thickBot="1" x14ac:dyDescent="0.35">
      <c r="A34" s="54"/>
      <c r="B34" s="97"/>
      <c r="C34" s="73" t="s">
        <v>112</v>
      </c>
      <c r="D34" s="74"/>
      <c r="E34" s="74"/>
      <c r="F34" s="74"/>
      <c r="G34" s="74"/>
      <c r="H34" s="75"/>
      <c r="I34" s="58">
        <v>69675</v>
      </c>
    </row>
    <row r="35" spans="1:11" x14ac:dyDescent="0.3">
      <c r="B35" s="97"/>
    </row>
    <row r="36" spans="1:11" x14ac:dyDescent="0.3">
      <c r="B36" s="97"/>
    </row>
    <row r="37" spans="1:11" x14ac:dyDescent="0.3">
      <c r="B37" s="97"/>
    </row>
    <row r="38" spans="1:11" x14ac:dyDescent="0.3">
      <c r="B38" s="97"/>
    </row>
    <row r="39" spans="1:11" ht="15" thickBot="1" x14ac:dyDescent="0.35">
      <c r="B39" s="97"/>
    </row>
    <row r="40" spans="1:11" ht="15" thickBot="1" x14ac:dyDescent="0.35">
      <c r="A40" s="70" t="s">
        <v>113</v>
      </c>
      <c r="B40" s="71"/>
      <c r="C40" s="71"/>
      <c r="D40" s="71"/>
      <c r="E40" s="71"/>
      <c r="F40" s="71"/>
      <c r="G40" s="71"/>
      <c r="H40" s="71"/>
      <c r="I40" s="72"/>
      <c r="K40" t="s">
        <v>115</v>
      </c>
    </row>
    <row r="41" spans="1:11" ht="15" thickBot="1" x14ac:dyDescent="0.35">
      <c r="A41" s="59"/>
      <c r="B41" s="55" t="s">
        <v>28</v>
      </c>
      <c r="C41" s="55" t="s">
        <v>29</v>
      </c>
      <c r="D41" s="55" t="s">
        <v>30</v>
      </c>
      <c r="E41" s="56" t="s">
        <v>6</v>
      </c>
      <c r="F41" s="56" t="s">
        <v>8</v>
      </c>
      <c r="G41" s="56" t="s">
        <v>9</v>
      </c>
      <c r="H41" s="56" t="s">
        <v>10</v>
      </c>
      <c r="I41" s="56" t="s">
        <v>11</v>
      </c>
      <c r="K41" s="62"/>
    </row>
    <row r="42" spans="1:11" ht="15" thickBot="1" x14ac:dyDescent="0.35">
      <c r="A42" s="57" t="s">
        <v>14</v>
      </c>
      <c r="B42" s="60" t="s">
        <v>117</v>
      </c>
      <c r="C42" s="60"/>
      <c r="D42" s="60"/>
      <c r="E42" s="60"/>
      <c r="F42" s="60"/>
      <c r="G42" s="60"/>
      <c r="H42" s="60"/>
      <c r="I42" s="60"/>
    </row>
    <row r="43" spans="1:11" ht="15" thickBot="1" x14ac:dyDescent="0.35">
      <c r="A43" s="57" t="s">
        <v>15</v>
      </c>
      <c r="B43" s="60"/>
      <c r="C43" s="60"/>
      <c r="D43" s="60"/>
      <c r="E43" s="60"/>
      <c r="F43" s="60"/>
      <c r="G43" s="60"/>
      <c r="H43" s="60"/>
      <c r="I43" s="60"/>
    </row>
    <row r="44" spans="1:11" ht="15" thickBot="1" x14ac:dyDescent="0.35">
      <c r="A44" s="57" t="s">
        <v>16</v>
      </c>
      <c r="B44" s="60"/>
      <c r="C44" s="60"/>
      <c r="D44" s="60"/>
      <c r="E44" s="60"/>
      <c r="F44" s="60"/>
      <c r="G44" s="60"/>
      <c r="H44" s="60"/>
      <c r="I44" s="60"/>
    </row>
    <row r="45" spans="1:11" ht="15" thickBot="1" x14ac:dyDescent="0.35">
      <c r="A45" s="57" t="s">
        <v>17</v>
      </c>
      <c r="B45" s="60"/>
      <c r="C45" s="60"/>
      <c r="D45" s="60"/>
      <c r="E45" s="60"/>
      <c r="F45" s="60"/>
      <c r="G45" s="60"/>
      <c r="H45" s="60"/>
      <c r="I45" s="60"/>
    </row>
    <row r="46" spans="1:11" ht="15" thickBot="1" x14ac:dyDescent="0.35">
      <c r="A46" s="57" t="s">
        <v>18</v>
      </c>
      <c r="B46" s="60"/>
      <c r="C46" s="60"/>
      <c r="D46" s="60"/>
      <c r="E46" s="60"/>
      <c r="F46" s="60"/>
      <c r="G46" s="60"/>
      <c r="H46" s="60"/>
      <c r="I46" s="60"/>
    </row>
    <row r="47" spans="1:11" ht="15" thickBot="1" x14ac:dyDescent="0.35">
      <c r="A47" s="57" t="s">
        <v>31</v>
      </c>
      <c r="B47" s="60"/>
      <c r="C47" s="60"/>
      <c r="D47" s="60"/>
      <c r="E47" s="60"/>
      <c r="F47" s="60"/>
      <c r="G47" s="60"/>
      <c r="H47" s="60"/>
      <c r="I47" s="60"/>
    </row>
    <row r="48" spans="1:11" ht="15" thickBot="1" x14ac:dyDescent="0.35">
      <c r="A48" s="57" t="s">
        <v>33</v>
      </c>
      <c r="B48" s="60"/>
      <c r="C48" s="60"/>
      <c r="D48" s="60"/>
      <c r="E48" s="60"/>
      <c r="F48" s="60"/>
      <c r="G48" s="60"/>
      <c r="H48" s="60"/>
      <c r="I48" s="60"/>
    </row>
    <row r="49" spans="1:10" ht="15" thickBot="1" x14ac:dyDescent="0.35">
      <c r="A49" s="57" t="s">
        <v>35</v>
      </c>
      <c r="B49" s="60"/>
      <c r="C49" s="60"/>
      <c r="D49" s="60"/>
      <c r="E49" s="60"/>
      <c r="F49" s="60"/>
      <c r="G49" s="60"/>
      <c r="H49" s="60"/>
      <c r="I49" s="60"/>
    </row>
    <row r="50" spans="1:10" ht="29.4" thickBot="1" x14ac:dyDescent="0.35">
      <c r="A50" s="57" t="s">
        <v>110</v>
      </c>
      <c r="B50" s="60"/>
      <c r="C50" s="60"/>
      <c r="D50" s="60"/>
      <c r="E50" s="60"/>
      <c r="F50" s="60"/>
      <c r="G50" s="60"/>
      <c r="H50" s="60"/>
      <c r="I50" s="60"/>
    </row>
    <row r="51" spans="1:10" ht="15" thickBot="1" x14ac:dyDescent="0.35">
      <c r="A51" s="57" t="s">
        <v>39</v>
      </c>
      <c r="B51" s="60"/>
      <c r="C51" s="60"/>
      <c r="D51" s="60"/>
      <c r="E51" s="60"/>
      <c r="F51" s="60"/>
      <c r="G51" s="60"/>
      <c r="H51" s="60"/>
      <c r="I51" s="60"/>
    </row>
    <row r="52" spans="1:10" ht="15" thickBot="1" x14ac:dyDescent="0.35">
      <c r="A52" s="57" t="s">
        <v>111</v>
      </c>
      <c r="B52" s="60"/>
      <c r="C52" s="60"/>
      <c r="D52" s="60"/>
      <c r="E52" s="60"/>
      <c r="F52" s="60"/>
      <c r="G52" s="60"/>
      <c r="H52" s="60"/>
      <c r="I52" s="60"/>
    </row>
    <row r="53" spans="1:10" ht="15" thickBot="1" x14ac:dyDescent="0.35">
      <c r="A53" s="57" t="s">
        <v>43</v>
      </c>
      <c r="B53" s="60"/>
      <c r="C53" s="60"/>
      <c r="D53" s="60"/>
      <c r="E53" s="60"/>
      <c r="F53" s="60"/>
      <c r="G53" s="60"/>
      <c r="H53" s="60"/>
      <c r="I53" s="60"/>
    </row>
    <row r="54" spans="1:10" ht="15" thickBot="1" x14ac:dyDescent="0.35">
      <c r="A54" s="57" t="s">
        <v>45</v>
      </c>
      <c r="B54" s="60"/>
      <c r="C54" s="60"/>
      <c r="D54" s="60"/>
      <c r="E54" s="60"/>
      <c r="F54" s="60"/>
      <c r="G54" s="60"/>
      <c r="H54" s="60"/>
      <c r="I54" s="60"/>
    </row>
    <row r="55" spans="1:10" x14ac:dyDescent="0.3">
      <c r="A55" s="61"/>
    </row>
    <row r="58" spans="1:10" ht="28.8" customHeight="1" x14ac:dyDescent="0.3">
      <c r="J58" s="62" t="s">
        <v>116</v>
      </c>
    </row>
  </sheetData>
  <mergeCells count="3">
    <mergeCell ref="A19:I19"/>
    <mergeCell ref="C34:H34"/>
    <mergeCell ref="A40:I40"/>
  </mergeCells>
  <phoneticPr fontId="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-0.249977111117893"/>
  </sheetPr>
  <dimension ref="A1:AJ22"/>
  <sheetViews>
    <sheetView topLeftCell="Z1" workbookViewId="0">
      <selection activeCell="AJ22" sqref="AJ22"/>
    </sheetView>
  </sheetViews>
  <sheetFormatPr defaultRowHeight="14.4" x14ac:dyDescent="0.3"/>
  <cols>
    <col min="10" max="18" width="8.6640625" hidden="1" customWidth="1"/>
    <col min="19" max="19" width="18.33203125" customWidth="1"/>
    <col min="28" max="28" width="20.33203125" customWidth="1"/>
  </cols>
  <sheetData>
    <row r="1" spans="1:36" ht="15" thickBot="1" x14ac:dyDescent="0.35">
      <c r="A1" s="1"/>
      <c r="B1" s="8" t="s">
        <v>22</v>
      </c>
      <c r="X1" t="s">
        <v>23</v>
      </c>
    </row>
    <row r="2" spans="1:36" ht="15" thickBot="1" x14ac:dyDescent="0.35">
      <c r="A2" s="76" t="s">
        <v>24</v>
      </c>
      <c r="B2" s="65"/>
      <c r="C2" s="65"/>
      <c r="D2" s="65"/>
      <c r="E2" s="65"/>
      <c r="F2" s="65"/>
      <c r="G2" s="65"/>
      <c r="H2" s="65"/>
      <c r="I2" s="66"/>
      <c r="J2" s="77" t="s">
        <v>25</v>
      </c>
      <c r="K2" s="78"/>
      <c r="L2" s="78"/>
      <c r="M2" s="78"/>
      <c r="N2" s="78"/>
      <c r="O2" s="78"/>
      <c r="P2" s="78"/>
      <c r="Q2" s="78"/>
      <c r="R2" s="79"/>
      <c r="S2" s="80" t="s">
        <v>26</v>
      </c>
      <c r="T2" s="80"/>
      <c r="AB2" s="76" t="s">
        <v>27</v>
      </c>
      <c r="AC2" s="65"/>
      <c r="AD2" s="65"/>
      <c r="AE2" s="65"/>
      <c r="AF2" s="65"/>
      <c r="AG2" s="65"/>
      <c r="AH2" s="65"/>
      <c r="AI2" s="65"/>
      <c r="AJ2" s="66"/>
    </row>
    <row r="3" spans="1:36" ht="15" thickBot="1" x14ac:dyDescent="0.35">
      <c r="A3" s="20"/>
      <c r="B3" s="21" t="s">
        <v>28</v>
      </c>
      <c r="C3" s="22" t="s">
        <v>29</v>
      </c>
      <c r="D3" s="21" t="s">
        <v>30</v>
      </c>
      <c r="E3" s="22" t="s">
        <v>6</v>
      </c>
      <c r="F3" s="21" t="s">
        <v>8</v>
      </c>
      <c r="G3" s="23" t="s">
        <v>9</v>
      </c>
      <c r="H3" s="24" t="s">
        <v>10</v>
      </c>
      <c r="I3" s="22" t="s">
        <v>11</v>
      </c>
      <c r="J3" s="11"/>
      <c r="K3" s="40" t="s">
        <v>28</v>
      </c>
      <c r="L3" s="41" t="s">
        <v>29</v>
      </c>
      <c r="M3" s="40" t="s">
        <v>30</v>
      </c>
      <c r="N3" s="22" t="s">
        <v>6</v>
      </c>
      <c r="O3" s="21" t="s">
        <v>8</v>
      </c>
      <c r="P3" s="23" t="s">
        <v>9</v>
      </c>
      <c r="Q3" s="24" t="s">
        <v>10</v>
      </c>
      <c r="R3" s="22" t="s">
        <v>11</v>
      </c>
      <c r="S3" s="20"/>
      <c r="T3" s="21" t="s">
        <v>28</v>
      </c>
      <c r="U3" s="22" t="s">
        <v>29</v>
      </c>
      <c r="V3" s="21" t="s">
        <v>30</v>
      </c>
      <c r="W3" s="22" t="s">
        <v>6</v>
      </c>
      <c r="X3" s="21" t="s">
        <v>8</v>
      </c>
      <c r="Y3" s="23" t="s">
        <v>9</v>
      </c>
      <c r="Z3" s="24" t="s">
        <v>10</v>
      </c>
      <c r="AA3" s="22" t="s">
        <v>11</v>
      </c>
      <c r="AB3" s="20"/>
      <c r="AC3" s="21" t="s">
        <v>28</v>
      </c>
      <c r="AD3" s="22" t="s">
        <v>29</v>
      </c>
      <c r="AE3" s="21" t="s">
        <v>30</v>
      </c>
      <c r="AF3" s="22" t="s">
        <v>6</v>
      </c>
      <c r="AG3" s="21" t="s">
        <v>8</v>
      </c>
      <c r="AH3" s="23" t="s">
        <v>9</v>
      </c>
      <c r="AI3" s="24" t="s">
        <v>10</v>
      </c>
      <c r="AJ3" s="22" t="s">
        <v>11</v>
      </c>
    </row>
    <row r="4" spans="1:36" ht="15" thickBot="1" x14ac:dyDescent="0.35">
      <c r="A4" s="24" t="s">
        <v>14</v>
      </c>
      <c r="B4" s="25"/>
      <c r="C4" s="25"/>
      <c r="D4" s="25"/>
      <c r="E4" s="25"/>
      <c r="F4" s="25"/>
      <c r="G4" s="26"/>
      <c r="H4" s="27"/>
      <c r="I4" s="29"/>
      <c r="J4" s="9" t="s">
        <v>14</v>
      </c>
      <c r="K4" s="5">
        <f t="shared" ref="K4:R8" si="0">B4*0.5</f>
        <v>0</v>
      </c>
      <c r="L4" s="5">
        <f t="shared" si="0"/>
        <v>0</v>
      </c>
      <c r="M4" s="5">
        <f t="shared" si="0"/>
        <v>0</v>
      </c>
      <c r="N4" s="5">
        <f t="shared" si="0"/>
        <v>0</v>
      </c>
      <c r="O4" s="5">
        <f t="shared" si="0"/>
        <v>0</v>
      </c>
      <c r="P4" s="5">
        <f t="shared" si="0"/>
        <v>0</v>
      </c>
      <c r="Q4" s="5">
        <f t="shared" si="0"/>
        <v>0</v>
      </c>
      <c r="R4" s="6">
        <f t="shared" si="0"/>
        <v>0</v>
      </c>
      <c r="S4" s="24" t="s">
        <v>14</v>
      </c>
      <c r="T4" s="25"/>
      <c r="U4" s="25"/>
      <c r="V4" s="25"/>
      <c r="W4" s="25"/>
      <c r="X4" s="25"/>
      <c r="Y4" s="26"/>
      <c r="Z4" s="27"/>
      <c r="AA4" s="29"/>
      <c r="AB4" s="24" t="s">
        <v>14</v>
      </c>
      <c r="AC4" s="25">
        <f t="shared" ref="AC4:AC16" si="1">T4*K4</f>
        <v>0</v>
      </c>
      <c r="AD4" s="25">
        <f t="shared" ref="AD4:AD16" si="2">U4*L4</f>
        <v>0</v>
      </c>
      <c r="AE4" s="25">
        <f t="shared" ref="AE4:AE16" si="3">V4*M4</f>
        <v>0</v>
      </c>
      <c r="AF4" s="25">
        <f t="shared" ref="AF4:AF8" si="4">W4*N4</f>
        <v>0</v>
      </c>
      <c r="AG4" s="25">
        <f t="shared" ref="AG4:AG8" si="5">X4*O4</f>
        <v>0</v>
      </c>
      <c r="AH4" s="25">
        <f t="shared" ref="AH4:AH8" si="6">Y4*P4</f>
        <v>0</v>
      </c>
      <c r="AI4" s="25">
        <f t="shared" ref="AI4:AI8" si="7">Z4*Q4</f>
        <v>0</v>
      </c>
      <c r="AJ4" s="25">
        <f t="shared" ref="AJ4:AJ8" si="8">AA4*R4</f>
        <v>0</v>
      </c>
    </row>
    <row r="5" spans="1:36" ht="15" thickBot="1" x14ac:dyDescent="0.35">
      <c r="A5" s="24" t="s">
        <v>15</v>
      </c>
      <c r="B5" s="25"/>
      <c r="C5" s="25"/>
      <c r="D5" s="25"/>
      <c r="E5" s="25"/>
      <c r="F5" s="25"/>
      <c r="G5" s="26"/>
      <c r="H5" s="27"/>
      <c r="I5" s="29"/>
      <c r="J5" s="9" t="s">
        <v>15</v>
      </c>
      <c r="K5" s="5">
        <f t="shared" si="0"/>
        <v>0</v>
      </c>
      <c r="L5" s="5">
        <f t="shared" si="0"/>
        <v>0</v>
      </c>
      <c r="M5" s="5">
        <f t="shared" si="0"/>
        <v>0</v>
      </c>
      <c r="N5" s="5">
        <f t="shared" si="0"/>
        <v>0</v>
      </c>
      <c r="O5" s="5">
        <f t="shared" si="0"/>
        <v>0</v>
      </c>
      <c r="P5" s="5">
        <f t="shared" si="0"/>
        <v>0</v>
      </c>
      <c r="Q5" s="5">
        <f t="shared" si="0"/>
        <v>0</v>
      </c>
      <c r="R5" s="6">
        <f t="shared" si="0"/>
        <v>0</v>
      </c>
      <c r="S5" s="24" t="s">
        <v>15</v>
      </c>
      <c r="T5" s="25"/>
      <c r="U5" s="25"/>
      <c r="V5" s="25"/>
      <c r="W5" s="25"/>
      <c r="X5" s="25"/>
      <c r="Y5" s="26"/>
      <c r="Z5" s="27"/>
      <c r="AA5" s="29"/>
      <c r="AB5" s="24" t="s">
        <v>15</v>
      </c>
      <c r="AC5" s="25">
        <f t="shared" si="1"/>
        <v>0</v>
      </c>
      <c r="AD5" s="25">
        <f t="shared" si="2"/>
        <v>0</v>
      </c>
      <c r="AE5" s="25">
        <f t="shared" si="3"/>
        <v>0</v>
      </c>
      <c r="AF5" s="25">
        <f t="shared" si="4"/>
        <v>0</v>
      </c>
      <c r="AG5" s="25">
        <f t="shared" si="5"/>
        <v>0</v>
      </c>
      <c r="AH5" s="25">
        <f t="shared" si="6"/>
        <v>0</v>
      </c>
      <c r="AI5" s="25">
        <f t="shared" si="7"/>
        <v>0</v>
      </c>
      <c r="AJ5" s="25">
        <f t="shared" si="8"/>
        <v>0</v>
      </c>
    </row>
    <row r="6" spans="1:36" ht="15" thickBot="1" x14ac:dyDescent="0.35">
      <c r="A6" s="24" t="s">
        <v>16</v>
      </c>
      <c r="B6" s="25"/>
      <c r="C6" s="25"/>
      <c r="D6" s="25"/>
      <c r="E6" s="25"/>
      <c r="F6" s="25"/>
      <c r="G6" s="26"/>
      <c r="H6" s="27"/>
      <c r="I6" s="29"/>
      <c r="J6" s="9" t="s">
        <v>16</v>
      </c>
      <c r="K6" s="5">
        <f t="shared" si="0"/>
        <v>0</v>
      </c>
      <c r="L6" s="5">
        <f t="shared" si="0"/>
        <v>0</v>
      </c>
      <c r="M6" s="5">
        <f t="shared" si="0"/>
        <v>0</v>
      </c>
      <c r="N6" s="5">
        <f t="shared" si="0"/>
        <v>0</v>
      </c>
      <c r="O6" s="5">
        <f t="shared" si="0"/>
        <v>0</v>
      </c>
      <c r="P6" s="5">
        <f t="shared" si="0"/>
        <v>0</v>
      </c>
      <c r="Q6" s="5">
        <f t="shared" si="0"/>
        <v>0</v>
      </c>
      <c r="R6" s="6">
        <f t="shared" si="0"/>
        <v>0</v>
      </c>
      <c r="S6" s="24" t="s">
        <v>16</v>
      </c>
      <c r="T6" s="25"/>
      <c r="U6" s="25"/>
      <c r="V6" s="25"/>
      <c r="W6" s="25"/>
      <c r="X6" s="25"/>
      <c r="Y6" s="26"/>
      <c r="Z6" s="27"/>
      <c r="AA6" s="29"/>
      <c r="AB6" s="24" t="s">
        <v>16</v>
      </c>
      <c r="AC6" s="25">
        <f t="shared" si="1"/>
        <v>0</v>
      </c>
      <c r="AD6" s="25">
        <f t="shared" si="2"/>
        <v>0</v>
      </c>
      <c r="AE6" s="25">
        <f t="shared" si="3"/>
        <v>0</v>
      </c>
      <c r="AF6" s="25">
        <f t="shared" si="4"/>
        <v>0</v>
      </c>
      <c r="AG6" s="25">
        <f t="shared" si="5"/>
        <v>0</v>
      </c>
      <c r="AH6" s="25">
        <f t="shared" si="6"/>
        <v>0</v>
      </c>
      <c r="AI6" s="25">
        <f t="shared" si="7"/>
        <v>0</v>
      </c>
      <c r="AJ6" s="25">
        <f t="shared" si="8"/>
        <v>0</v>
      </c>
    </row>
    <row r="7" spans="1:36" ht="15" thickBot="1" x14ac:dyDescent="0.35">
      <c r="A7" s="24" t="s">
        <v>17</v>
      </c>
      <c r="B7" s="25"/>
      <c r="C7" s="25"/>
      <c r="D7" s="25"/>
      <c r="E7" s="25"/>
      <c r="F7" s="25"/>
      <c r="G7" s="26"/>
      <c r="H7" s="27"/>
      <c r="I7" s="29"/>
      <c r="J7" s="9" t="s">
        <v>17</v>
      </c>
      <c r="K7" s="5">
        <f t="shared" si="0"/>
        <v>0</v>
      </c>
      <c r="L7" s="5">
        <f t="shared" si="0"/>
        <v>0</v>
      </c>
      <c r="M7" s="5">
        <f t="shared" si="0"/>
        <v>0</v>
      </c>
      <c r="N7" s="5">
        <f t="shared" si="0"/>
        <v>0</v>
      </c>
      <c r="O7" s="5">
        <f t="shared" si="0"/>
        <v>0</v>
      </c>
      <c r="P7" s="5">
        <f t="shared" si="0"/>
        <v>0</v>
      </c>
      <c r="Q7" s="5">
        <f t="shared" si="0"/>
        <v>0</v>
      </c>
      <c r="R7" s="6">
        <f t="shared" si="0"/>
        <v>0</v>
      </c>
      <c r="S7" s="24" t="s">
        <v>17</v>
      </c>
      <c r="T7" s="25"/>
      <c r="U7" s="25"/>
      <c r="V7" s="25"/>
      <c r="W7" s="25"/>
      <c r="X7" s="25"/>
      <c r="Y7" s="26"/>
      <c r="Z7" s="27"/>
      <c r="AA7" s="29"/>
      <c r="AB7" s="24" t="s">
        <v>17</v>
      </c>
      <c r="AC7" s="25">
        <f t="shared" si="1"/>
        <v>0</v>
      </c>
      <c r="AD7" s="25">
        <f t="shared" si="2"/>
        <v>0</v>
      </c>
      <c r="AE7" s="25">
        <f t="shared" si="3"/>
        <v>0</v>
      </c>
      <c r="AF7" s="25">
        <f t="shared" si="4"/>
        <v>0</v>
      </c>
      <c r="AG7" s="25">
        <f t="shared" si="5"/>
        <v>0</v>
      </c>
      <c r="AH7" s="25">
        <f t="shared" si="6"/>
        <v>0</v>
      </c>
      <c r="AI7" s="25">
        <f t="shared" si="7"/>
        <v>0</v>
      </c>
      <c r="AJ7" s="25">
        <f t="shared" si="8"/>
        <v>0</v>
      </c>
    </row>
    <row r="8" spans="1:36" ht="15" thickBot="1" x14ac:dyDescent="0.35">
      <c r="A8" s="24" t="s">
        <v>18</v>
      </c>
      <c r="B8" s="25"/>
      <c r="C8" s="25"/>
      <c r="D8" s="25"/>
      <c r="E8" s="25"/>
      <c r="F8" s="25"/>
      <c r="G8" s="26"/>
      <c r="H8" s="27"/>
      <c r="I8" s="29"/>
      <c r="J8" s="9" t="s">
        <v>18</v>
      </c>
      <c r="K8" s="5">
        <f t="shared" si="0"/>
        <v>0</v>
      </c>
      <c r="L8" s="5">
        <f t="shared" si="0"/>
        <v>0</v>
      </c>
      <c r="M8" s="5">
        <f t="shared" si="0"/>
        <v>0</v>
      </c>
      <c r="N8" s="5">
        <f t="shared" si="0"/>
        <v>0</v>
      </c>
      <c r="O8" s="5">
        <f t="shared" si="0"/>
        <v>0</v>
      </c>
      <c r="P8" s="5">
        <f t="shared" si="0"/>
        <v>0</v>
      </c>
      <c r="Q8" s="5">
        <f t="shared" si="0"/>
        <v>0</v>
      </c>
      <c r="R8" s="6">
        <f t="shared" si="0"/>
        <v>0</v>
      </c>
      <c r="S8" s="24" t="s">
        <v>18</v>
      </c>
      <c r="T8" s="25"/>
      <c r="U8" s="25"/>
      <c r="V8" s="25"/>
      <c r="W8" s="25"/>
      <c r="X8" s="25"/>
      <c r="Y8" s="26"/>
      <c r="Z8" s="27"/>
      <c r="AA8" s="29"/>
      <c r="AB8" s="24" t="s">
        <v>18</v>
      </c>
      <c r="AC8" s="25">
        <f t="shared" si="1"/>
        <v>0</v>
      </c>
      <c r="AD8" s="25">
        <f t="shared" si="2"/>
        <v>0</v>
      </c>
      <c r="AE8" s="25">
        <f t="shared" si="3"/>
        <v>0</v>
      </c>
      <c r="AF8" s="25">
        <f t="shared" si="4"/>
        <v>0</v>
      </c>
      <c r="AG8" s="25">
        <f t="shared" si="5"/>
        <v>0</v>
      </c>
      <c r="AH8" s="25">
        <f t="shared" si="6"/>
        <v>0</v>
      </c>
      <c r="AI8" s="25">
        <f t="shared" si="7"/>
        <v>0</v>
      </c>
      <c r="AJ8" s="25">
        <f t="shared" si="8"/>
        <v>0</v>
      </c>
    </row>
    <row r="9" spans="1:36" ht="15" thickBot="1" x14ac:dyDescent="0.35">
      <c r="A9" s="30" t="s">
        <v>31</v>
      </c>
      <c r="B9" s="31"/>
      <c r="C9" s="31"/>
      <c r="D9" s="31"/>
      <c r="E9" s="31"/>
      <c r="F9" s="31"/>
      <c r="G9" s="32"/>
      <c r="H9" s="33"/>
      <c r="I9" s="34"/>
      <c r="J9" s="43" t="s">
        <v>32</v>
      </c>
      <c r="K9" s="5">
        <f>B9*100</f>
        <v>0</v>
      </c>
      <c r="L9" s="5">
        <f t="shared" ref="L9:M16" si="9">C9*0.5</f>
        <v>0</v>
      </c>
      <c r="M9" s="5">
        <f t="shared" si="9"/>
        <v>0</v>
      </c>
      <c r="N9" s="5">
        <f>E9*100</f>
        <v>0</v>
      </c>
      <c r="O9" s="5">
        <f t="shared" ref="O9:R16" si="10">F9*100</f>
        <v>0</v>
      </c>
      <c r="P9" s="5">
        <f t="shared" si="10"/>
        <v>0</v>
      </c>
      <c r="Q9" s="5">
        <f t="shared" si="10"/>
        <v>0</v>
      </c>
      <c r="R9" s="5">
        <f t="shared" si="10"/>
        <v>0</v>
      </c>
      <c r="S9" s="30" t="s">
        <v>31</v>
      </c>
      <c r="T9" s="31"/>
      <c r="U9" s="31"/>
      <c r="V9" s="31"/>
      <c r="W9" s="31"/>
      <c r="X9" s="31"/>
      <c r="Y9" s="32"/>
      <c r="Z9" s="33"/>
      <c r="AA9" s="34"/>
      <c r="AB9" s="30" t="s">
        <v>31</v>
      </c>
      <c r="AC9" s="25">
        <f t="shared" si="1"/>
        <v>0</v>
      </c>
      <c r="AD9" s="25">
        <f t="shared" si="2"/>
        <v>0</v>
      </c>
      <c r="AE9" s="25">
        <f t="shared" si="3"/>
        <v>0</v>
      </c>
      <c r="AF9" s="25">
        <f>(W9*N9)/3</f>
        <v>0</v>
      </c>
      <c r="AG9" s="25">
        <f t="shared" ref="AG9:AJ9" si="11">(X9*O9)/3</f>
        <v>0</v>
      </c>
      <c r="AH9" s="25">
        <f t="shared" si="11"/>
        <v>0</v>
      </c>
      <c r="AI9" s="25">
        <f t="shared" si="11"/>
        <v>0</v>
      </c>
      <c r="AJ9" s="25">
        <f t="shared" si="11"/>
        <v>0</v>
      </c>
    </row>
    <row r="10" spans="1:36" ht="15" thickBot="1" x14ac:dyDescent="0.35">
      <c r="A10" s="35" t="s">
        <v>33</v>
      </c>
      <c r="B10" s="36"/>
      <c r="C10" s="36"/>
      <c r="D10" s="36"/>
      <c r="E10" s="36"/>
      <c r="F10" s="36"/>
      <c r="G10" s="36"/>
      <c r="H10" s="36"/>
      <c r="I10" s="36"/>
      <c r="J10" s="9" t="s">
        <v>34</v>
      </c>
      <c r="K10" s="5">
        <f t="shared" ref="K10:K16" si="12">B10*0.5</f>
        <v>0</v>
      </c>
      <c r="L10" s="5">
        <f t="shared" si="9"/>
        <v>0</v>
      </c>
      <c r="M10" s="5">
        <f t="shared" si="9"/>
        <v>0</v>
      </c>
      <c r="N10" s="5">
        <f t="shared" ref="N10:N16" si="13">E10*100</f>
        <v>0</v>
      </c>
      <c r="O10" s="5">
        <f t="shared" si="10"/>
        <v>0</v>
      </c>
      <c r="P10" s="5">
        <f t="shared" si="10"/>
        <v>0</v>
      </c>
      <c r="Q10" s="5">
        <f t="shared" si="10"/>
        <v>0</v>
      </c>
      <c r="R10" s="5">
        <f t="shared" si="10"/>
        <v>0</v>
      </c>
      <c r="S10" s="35" t="s">
        <v>33</v>
      </c>
      <c r="T10" s="36"/>
      <c r="U10" s="36"/>
      <c r="V10" s="36"/>
      <c r="W10" s="36"/>
      <c r="X10" s="36"/>
      <c r="Y10" s="36"/>
      <c r="Z10" s="36"/>
      <c r="AA10" s="36"/>
      <c r="AB10" s="35" t="s">
        <v>33</v>
      </c>
      <c r="AC10" s="25">
        <f t="shared" si="1"/>
        <v>0</v>
      </c>
      <c r="AD10" s="25">
        <f t="shared" si="2"/>
        <v>0</v>
      </c>
      <c r="AE10" s="25">
        <f t="shared" si="3"/>
        <v>0</v>
      </c>
      <c r="AF10" s="25">
        <f t="shared" ref="AF10:AF16" si="14">(W10*N10)/3</f>
        <v>0</v>
      </c>
      <c r="AG10" s="25">
        <f t="shared" ref="AG10:AG16" si="15">(X10*O10)/3</f>
        <v>0</v>
      </c>
      <c r="AH10" s="25">
        <f t="shared" ref="AH10:AH16" si="16">(Y10*P10)/3</f>
        <v>0</v>
      </c>
      <c r="AI10" s="25">
        <f t="shared" ref="AI10:AI16" si="17">(Z10*Q10)/3</f>
        <v>0</v>
      </c>
      <c r="AJ10" s="25">
        <f t="shared" ref="AJ10:AJ16" si="18">(AA10*R10)/3</f>
        <v>0</v>
      </c>
    </row>
    <row r="11" spans="1:36" ht="15" thickBot="1" x14ac:dyDescent="0.35">
      <c r="A11" s="24" t="s">
        <v>35</v>
      </c>
      <c r="B11" s="29"/>
      <c r="C11" s="29"/>
      <c r="D11" s="29"/>
      <c r="E11" s="29"/>
      <c r="F11" s="29"/>
      <c r="G11" s="29"/>
      <c r="H11" s="29"/>
      <c r="I11" s="29"/>
      <c r="J11" s="9" t="s">
        <v>36</v>
      </c>
      <c r="K11" s="5">
        <f t="shared" si="12"/>
        <v>0</v>
      </c>
      <c r="L11" s="5">
        <f t="shared" si="9"/>
        <v>0</v>
      </c>
      <c r="M11" s="5">
        <f t="shared" si="9"/>
        <v>0</v>
      </c>
      <c r="N11" s="5">
        <f t="shared" si="13"/>
        <v>0</v>
      </c>
      <c r="O11" s="5">
        <f t="shared" si="10"/>
        <v>0</v>
      </c>
      <c r="P11" s="5">
        <f t="shared" si="10"/>
        <v>0</v>
      </c>
      <c r="Q11" s="5">
        <f t="shared" si="10"/>
        <v>0</v>
      </c>
      <c r="R11" s="5">
        <f t="shared" si="10"/>
        <v>0</v>
      </c>
      <c r="S11" s="24" t="s">
        <v>35</v>
      </c>
      <c r="T11" s="29"/>
      <c r="U11" s="29"/>
      <c r="V11" s="29"/>
      <c r="W11" s="29"/>
      <c r="X11" s="29"/>
      <c r="Y11" s="29"/>
      <c r="Z11" s="29"/>
      <c r="AA11" s="29"/>
      <c r="AB11" s="24" t="s">
        <v>35</v>
      </c>
      <c r="AC11" s="25">
        <f t="shared" si="1"/>
        <v>0</v>
      </c>
      <c r="AD11" s="25">
        <f t="shared" si="2"/>
        <v>0</v>
      </c>
      <c r="AE11" s="25">
        <f t="shared" si="3"/>
        <v>0</v>
      </c>
      <c r="AF11" s="25">
        <f t="shared" si="14"/>
        <v>0</v>
      </c>
      <c r="AG11" s="25">
        <f t="shared" si="15"/>
        <v>0</v>
      </c>
      <c r="AH11" s="25">
        <f t="shared" si="16"/>
        <v>0</v>
      </c>
      <c r="AI11" s="25">
        <f t="shared" si="17"/>
        <v>0</v>
      </c>
      <c r="AJ11" s="25">
        <f t="shared" si="18"/>
        <v>0</v>
      </c>
    </row>
    <row r="12" spans="1:36" ht="15" thickBot="1" x14ac:dyDescent="0.35">
      <c r="A12" s="24" t="s">
        <v>37</v>
      </c>
      <c r="B12" s="21"/>
      <c r="C12" s="29"/>
      <c r="D12" s="29"/>
      <c r="E12" s="29"/>
      <c r="F12" s="29"/>
      <c r="G12" s="29"/>
      <c r="H12" s="29"/>
      <c r="I12" s="29"/>
      <c r="J12" s="9" t="s">
        <v>38</v>
      </c>
      <c r="K12" s="5">
        <f t="shared" si="12"/>
        <v>0</v>
      </c>
      <c r="L12" s="5">
        <f t="shared" si="9"/>
        <v>0</v>
      </c>
      <c r="M12" s="5">
        <f t="shared" si="9"/>
        <v>0</v>
      </c>
      <c r="N12" s="5">
        <f t="shared" si="13"/>
        <v>0</v>
      </c>
      <c r="O12" s="5">
        <f t="shared" si="10"/>
        <v>0</v>
      </c>
      <c r="P12" s="5">
        <f t="shared" si="10"/>
        <v>0</v>
      </c>
      <c r="Q12" s="5">
        <f t="shared" si="10"/>
        <v>0</v>
      </c>
      <c r="R12" s="5">
        <f t="shared" si="10"/>
        <v>0</v>
      </c>
      <c r="S12" s="24" t="s">
        <v>37</v>
      </c>
      <c r="T12" s="21"/>
      <c r="U12" s="29"/>
      <c r="V12" s="29"/>
      <c r="W12" s="29"/>
      <c r="X12" s="29"/>
      <c r="Y12" s="29"/>
      <c r="Z12" s="29"/>
      <c r="AA12" s="29"/>
      <c r="AB12" s="24" t="s">
        <v>37</v>
      </c>
      <c r="AC12" s="25">
        <f t="shared" si="1"/>
        <v>0</v>
      </c>
      <c r="AD12" s="25">
        <f t="shared" si="2"/>
        <v>0</v>
      </c>
      <c r="AE12" s="25">
        <f t="shared" si="3"/>
        <v>0</v>
      </c>
      <c r="AF12" s="25">
        <f t="shared" si="14"/>
        <v>0</v>
      </c>
      <c r="AG12" s="25">
        <f t="shared" si="15"/>
        <v>0</v>
      </c>
      <c r="AH12" s="25">
        <f t="shared" si="16"/>
        <v>0</v>
      </c>
      <c r="AI12" s="25">
        <f t="shared" si="17"/>
        <v>0</v>
      </c>
      <c r="AJ12" s="25">
        <f t="shared" si="18"/>
        <v>0</v>
      </c>
    </row>
    <row r="13" spans="1:36" ht="15" thickBot="1" x14ac:dyDescent="0.35">
      <c r="A13" s="24" t="s">
        <v>39</v>
      </c>
      <c r="B13" s="37"/>
      <c r="C13" s="37"/>
      <c r="D13" s="37"/>
      <c r="E13" s="37"/>
      <c r="F13" s="37"/>
      <c r="G13" s="37"/>
      <c r="H13" s="29"/>
      <c r="I13" s="29"/>
      <c r="J13" s="9" t="s">
        <v>40</v>
      </c>
      <c r="K13" s="5">
        <f t="shared" si="12"/>
        <v>0</v>
      </c>
      <c r="L13" s="5">
        <f t="shared" si="9"/>
        <v>0</v>
      </c>
      <c r="M13" s="5">
        <f t="shared" si="9"/>
        <v>0</v>
      </c>
      <c r="N13" s="5">
        <f t="shared" si="13"/>
        <v>0</v>
      </c>
      <c r="O13" s="5">
        <f t="shared" si="10"/>
        <v>0</v>
      </c>
      <c r="P13" s="5">
        <f t="shared" si="10"/>
        <v>0</v>
      </c>
      <c r="Q13" s="5">
        <f t="shared" si="10"/>
        <v>0</v>
      </c>
      <c r="R13" s="5">
        <f t="shared" si="10"/>
        <v>0</v>
      </c>
      <c r="S13" s="24" t="s">
        <v>39</v>
      </c>
      <c r="T13" s="37"/>
      <c r="U13" s="37"/>
      <c r="V13" s="37"/>
      <c r="W13" s="37"/>
      <c r="X13" s="37"/>
      <c r="Y13" s="37"/>
      <c r="Z13" s="29"/>
      <c r="AA13" s="29"/>
      <c r="AB13" s="24" t="s">
        <v>39</v>
      </c>
      <c r="AC13" s="25">
        <f t="shared" si="1"/>
        <v>0</v>
      </c>
      <c r="AD13" s="25">
        <f t="shared" si="2"/>
        <v>0</v>
      </c>
      <c r="AE13" s="25">
        <f t="shared" si="3"/>
        <v>0</v>
      </c>
      <c r="AF13" s="25">
        <f t="shared" si="14"/>
        <v>0</v>
      </c>
      <c r="AG13" s="25">
        <f t="shared" si="15"/>
        <v>0</v>
      </c>
      <c r="AH13" s="25">
        <f t="shared" si="16"/>
        <v>0</v>
      </c>
      <c r="AI13" s="25">
        <f t="shared" si="17"/>
        <v>0</v>
      </c>
      <c r="AJ13" s="25">
        <f t="shared" si="18"/>
        <v>0</v>
      </c>
    </row>
    <row r="14" spans="1:36" ht="15" thickBot="1" x14ac:dyDescent="0.35">
      <c r="A14" s="24" t="s">
        <v>41</v>
      </c>
      <c r="B14" s="25"/>
      <c r="C14" s="38"/>
      <c r="D14" s="25"/>
      <c r="E14" s="38"/>
      <c r="F14" s="25"/>
      <c r="G14" s="38"/>
      <c r="H14" s="29"/>
      <c r="I14" s="29"/>
      <c r="J14" s="9" t="s">
        <v>42</v>
      </c>
      <c r="K14" s="5">
        <f t="shared" si="12"/>
        <v>0</v>
      </c>
      <c r="L14" s="5">
        <f t="shared" si="9"/>
        <v>0</v>
      </c>
      <c r="M14" s="5">
        <f t="shared" si="9"/>
        <v>0</v>
      </c>
      <c r="N14" s="5">
        <f t="shared" si="13"/>
        <v>0</v>
      </c>
      <c r="O14" s="5">
        <f t="shared" si="10"/>
        <v>0</v>
      </c>
      <c r="P14" s="5">
        <f t="shared" si="10"/>
        <v>0</v>
      </c>
      <c r="Q14" s="5">
        <f t="shared" si="10"/>
        <v>0</v>
      </c>
      <c r="R14" s="5">
        <f t="shared" si="10"/>
        <v>0</v>
      </c>
      <c r="S14" s="24" t="s">
        <v>41</v>
      </c>
      <c r="T14" s="25"/>
      <c r="U14" s="38"/>
      <c r="V14" s="25"/>
      <c r="W14" s="38"/>
      <c r="X14" s="25"/>
      <c r="Y14" s="38"/>
      <c r="Z14" s="29"/>
      <c r="AA14" s="29"/>
      <c r="AB14" s="24" t="s">
        <v>41</v>
      </c>
      <c r="AC14" s="25">
        <f t="shared" si="1"/>
        <v>0</v>
      </c>
      <c r="AD14" s="25">
        <f t="shared" si="2"/>
        <v>0</v>
      </c>
      <c r="AE14" s="25">
        <f t="shared" si="3"/>
        <v>0</v>
      </c>
      <c r="AF14" s="25">
        <f t="shared" si="14"/>
        <v>0</v>
      </c>
      <c r="AG14" s="25">
        <f t="shared" si="15"/>
        <v>0</v>
      </c>
      <c r="AH14" s="25">
        <f t="shared" si="16"/>
        <v>0</v>
      </c>
      <c r="AI14" s="25">
        <f t="shared" si="17"/>
        <v>0</v>
      </c>
      <c r="AJ14" s="25">
        <f t="shared" si="18"/>
        <v>0</v>
      </c>
    </row>
    <row r="15" spans="1:36" ht="15" thickBot="1" x14ac:dyDescent="0.35">
      <c r="A15" s="24" t="s">
        <v>43</v>
      </c>
      <c r="B15" s="28"/>
      <c r="C15" s="39"/>
      <c r="D15" s="28"/>
      <c r="E15" s="39"/>
      <c r="F15" s="28"/>
      <c r="G15" s="39"/>
      <c r="H15" s="28"/>
      <c r="I15" s="28"/>
      <c r="J15" s="9" t="s">
        <v>44</v>
      </c>
      <c r="K15" s="5">
        <f t="shared" si="12"/>
        <v>0</v>
      </c>
      <c r="L15" s="5">
        <f t="shared" si="9"/>
        <v>0</v>
      </c>
      <c r="M15" s="5">
        <f t="shared" si="9"/>
        <v>0</v>
      </c>
      <c r="N15" s="5">
        <f t="shared" si="13"/>
        <v>0</v>
      </c>
      <c r="O15" s="5">
        <f t="shared" si="10"/>
        <v>0</v>
      </c>
      <c r="P15" s="5">
        <f t="shared" si="10"/>
        <v>0</v>
      </c>
      <c r="Q15" s="5">
        <f t="shared" si="10"/>
        <v>0</v>
      </c>
      <c r="R15" s="5">
        <f t="shared" si="10"/>
        <v>0</v>
      </c>
      <c r="S15" s="24" t="s">
        <v>43</v>
      </c>
      <c r="T15" s="28"/>
      <c r="U15" s="39"/>
      <c r="V15" s="28"/>
      <c r="W15" s="39"/>
      <c r="X15" s="28"/>
      <c r="Y15" s="39"/>
      <c r="Z15" s="28"/>
      <c r="AA15" s="28"/>
      <c r="AB15" s="24" t="s">
        <v>43</v>
      </c>
      <c r="AC15" s="25">
        <f t="shared" si="1"/>
        <v>0</v>
      </c>
      <c r="AD15" s="25">
        <f t="shared" si="2"/>
        <v>0</v>
      </c>
      <c r="AE15" s="25">
        <f t="shared" si="3"/>
        <v>0</v>
      </c>
      <c r="AF15" s="25">
        <f t="shared" si="14"/>
        <v>0</v>
      </c>
      <c r="AG15" s="25">
        <f t="shared" si="15"/>
        <v>0</v>
      </c>
      <c r="AH15" s="25">
        <f t="shared" si="16"/>
        <v>0</v>
      </c>
      <c r="AI15" s="25">
        <f t="shared" si="17"/>
        <v>0</v>
      </c>
      <c r="AJ15" s="25">
        <f t="shared" si="18"/>
        <v>0</v>
      </c>
    </row>
    <row r="16" spans="1:36" ht="15" thickBot="1" x14ac:dyDescent="0.35">
      <c r="A16" s="24" t="s">
        <v>45</v>
      </c>
      <c r="B16" s="28"/>
      <c r="C16" s="39"/>
      <c r="D16" s="28"/>
      <c r="E16" s="39"/>
      <c r="F16" s="28"/>
      <c r="G16" s="39"/>
      <c r="H16" s="28"/>
      <c r="I16" s="28"/>
      <c r="J16" s="15" t="s">
        <v>46</v>
      </c>
      <c r="K16" s="7">
        <f t="shared" si="12"/>
        <v>0</v>
      </c>
      <c r="L16" s="7">
        <f t="shared" si="9"/>
        <v>0</v>
      </c>
      <c r="M16" s="7">
        <f t="shared" si="9"/>
        <v>0</v>
      </c>
      <c r="N16" s="5">
        <f t="shared" si="13"/>
        <v>0</v>
      </c>
      <c r="O16" s="5">
        <f t="shared" si="10"/>
        <v>0</v>
      </c>
      <c r="P16" s="5">
        <f t="shared" si="10"/>
        <v>0</v>
      </c>
      <c r="Q16" s="5">
        <f t="shared" si="10"/>
        <v>0</v>
      </c>
      <c r="R16" s="5">
        <f t="shared" si="10"/>
        <v>0</v>
      </c>
      <c r="S16" s="24" t="s">
        <v>45</v>
      </c>
      <c r="T16" s="28"/>
      <c r="U16" s="39"/>
      <c r="V16" s="28"/>
      <c r="W16" s="39"/>
      <c r="X16" s="28"/>
      <c r="Y16" s="39"/>
      <c r="Z16" s="28"/>
      <c r="AA16" s="28"/>
      <c r="AB16" s="24" t="s">
        <v>45</v>
      </c>
      <c r="AC16" s="25">
        <f t="shared" si="1"/>
        <v>0</v>
      </c>
      <c r="AD16" s="25">
        <f t="shared" si="2"/>
        <v>0</v>
      </c>
      <c r="AE16" s="25">
        <f t="shared" si="3"/>
        <v>0</v>
      </c>
      <c r="AF16" s="25">
        <f t="shared" si="14"/>
        <v>0</v>
      </c>
      <c r="AG16" s="25">
        <f t="shared" si="15"/>
        <v>0</v>
      </c>
      <c r="AH16" s="25">
        <f t="shared" si="16"/>
        <v>0</v>
      </c>
      <c r="AI16" s="25">
        <f t="shared" si="17"/>
        <v>0</v>
      </c>
      <c r="AJ16" s="25">
        <f t="shared" si="18"/>
        <v>0</v>
      </c>
    </row>
    <row r="17" spans="1:36" ht="15" thickBot="1" x14ac:dyDescent="0.35">
      <c r="A17" s="1"/>
      <c r="B17" s="18"/>
      <c r="C17" s="18"/>
      <c r="D17" s="18"/>
      <c r="E17" s="18"/>
      <c r="F17" s="18"/>
      <c r="G17" s="18"/>
      <c r="J17" s="81" t="s">
        <v>47</v>
      </c>
      <c r="K17" s="82"/>
      <c r="L17" s="82"/>
      <c r="M17" s="82"/>
      <c r="N17" s="82"/>
      <c r="O17" s="82"/>
      <c r="P17" s="82"/>
      <c r="Q17" s="83"/>
      <c r="R17" s="10">
        <f>SUM(K4:R16)</f>
        <v>0</v>
      </c>
      <c r="AB17" s="84" t="s">
        <v>48</v>
      </c>
      <c r="AC17" s="85"/>
      <c r="AD17" s="85"/>
      <c r="AE17" s="85"/>
      <c r="AF17" s="85"/>
      <c r="AG17" s="85"/>
      <c r="AH17" s="85"/>
      <c r="AI17" s="86"/>
      <c r="AJ17" s="10">
        <f>SUM(AC4:AJ16)</f>
        <v>0</v>
      </c>
    </row>
    <row r="19" spans="1:36" x14ac:dyDescent="0.3">
      <c r="AE19" t="s">
        <v>49</v>
      </c>
      <c r="AG19" s="4" t="s">
        <v>50</v>
      </c>
      <c r="AH19" s="4"/>
      <c r="AI19" s="4"/>
      <c r="AJ19" s="4">
        <f>SUM(AC4:AE8)</f>
        <v>0</v>
      </c>
    </row>
    <row r="20" spans="1:36" x14ac:dyDescent="0.3">
      <c r="AE20" t="s">
        <v>51</v>
      </c>
      <c r="AG20" s="4" t="s">
        <v>52</v>
      </c>
      <c r="AH20" s="4"/>
      <c r="AI20" s="4"/>
      <c r="AJ20" s="4">
        <f>SUM(AF4:AJ8)</f>
        <v>0</v>
      </c>
    </row>
    <row r="21" spans="1:36" x14ac:dyDescent="0.3">
      <c r="AE21" t="s">
        <v>53</v>
      </c>
      <c r="AG21" s="4" t="s">
        <v>54</v>
      </c>
      <c r="AH21" s="4"/>
      <c r="AI21" s="4"/>
      <c r="AJ21" s="4">
        <f>SUM(AF9:AJ16)</f>
        <v>0</v>
      </c>
    </row>
    <row r="22" spans="1:36" x14ac:dyDescent="0.3">
      <c r="AG22" s="4" t="s">
        <v>55</v>
      </c>
      <c r="AH22" s="4"/>
      <c r="AI22" s="4"/>
      <c r="AJ22" s="4">
        <f>SUM(AJ19:AJ21)</f>
        <v>0</v>
      </c>
    </row>
  </sheetData>
  <mergeCells count="6">
    <mergeCell ref="A2:I2"/>
    <mergeCell ref="J2:R2"/>
    <mergeCell ref="S2:T2"/>
    <mergeCell ref="AB2:AJ2"/>
    <mergeCell ref="J17:Q17"/>
    <mergeCell ref="AB17:AI1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5"/>
  <sheetViews>
    <sheetView topLeftCell="A5" zoomScale="127" workbookViewId="0">
      <selection activeCell="H11" sqref="H11"/>
    </sheetView>
  </sheetViews>
  <sheetFormatPr defaultRowHeight="14.4" x14ac:dyDescent="0.3"/>
  <cols>
    <col min="1" max="1" width="37.33203125" customWidth="1"/>
    <col min="2" max="2" width="21" customWidth="1"/>
    <col min="3" max="3" width="14.88671875" bestFit="1" customWidth="1"/>
    <col min="4" max="4" width="21.88671875" customWidth="1"/>
    <col min="7" max="7" width="12.109375" customWidth="1"/>
    <col min="8" max="8" width="16.6640625" customWidth="1"/>
    <col min="10" max="10" width="13.5546875" customWidth="1"/>
    <col min="11" max="11" width="18" customWidth="1"/>
  </cols>
  <sheetData>
    <row r="1" spans="1:11" x14ac:dyDescent="0.3">
      <c r="C1" s="18"/>
      <c r="D1" s="87"/>
      <c r="E1" s="87"/>
      <c r="G1" s="48" t="s">
        <v>56</v>
      </c>
      <c r="H1" s="48" t="s">
        <v>57</v>
      </c>
      <c r="I1" s="48" t="s">
        <v>58</v>
      </c>
      <c r="J1" s="48" t="s">
        <v>59</v>
      </c>
      <c r="K1" s="48" t="s">
        <v>60</v>
      </c>
    </row>
    <row r="2" spans="1:11" x14ac:dyDescent="0.3">
      <c r="G2" s="4" t="s">
        <v>61</v>
      </c>
      <c r="H2" s="4"/>
      <c r="I2" s="4"/>
      <c r="J2" s="4" t="s">
        <v>62</v>
      </c>
      <c r="K2" s="4">
        <v>500</v>
      </c>
    </row>
    <row r="3" spans="1:11" x14ac:dyDescent="0.3">
      <c r="C3" s="46"/>
      <c r="G3" s="4" t="s">
        <v>63</v>
      </c>
      <c r="H3" s="4"/>
      <c r="I3" s="4"/>
      <c r="J3" s="4" t="s">
        <v>64</v>
      </c>
      <c r="K3" s="4">
        <v>400</v>
      </c>
    </row>
    <row r="4" spans="1:11" ht="15" thickBot="1" x14ac:dyDescent="0.35">
      <c r="C4" s="46"/>
      <c r="G4" s="4" t="s">
        <v>65</v>
      </c>
      <c r="H4" s="4"/>
      <c r="I4" s="4"/>
      <c r="J4" s="4" t="s">
        <v>66</v>
      </c>
      <c r="K4" s="4">
        <v>300</v>
      </c>
    </row>
    <row r="5" spans="1:11" ht="37.200000000000003" thickBot="1" x14ac:dyDescent="0.35">
      <c r="A5" s="88" t="s">
        <v>67</v>
      </c>
      <c r="B5" s="89"/>
      <c r="C5" s="90"/>
      <c r="G5" s="4" t="s">
        <v>68</v>
      </c>
      <c r="H5" s="4"/>
      <c r="I5" s="4"/>
      <c r="J5" s="4" t="s">
        <v>69</v>
      </c>
      <c r="K5" s="4">
        <v>200</v>
      </c>
    </row>
    <row r="6" spans="1:11" x14ac:dyDescent="0.3">
      <c r="C6" s="46"/>
      <c r="G6" s="4" t="s">
        <v>70</v>
      </c>
      <c r="H6" s="4"/>
      <c r="I6" s="4"/>
      <c r="J6" s="4" t="s">
        <v>71</v>
      </c>
      <c r="K6" s="4">
        <v>150</v>
      </c>
    </row>
    <row r="7" spans="1:11" x14ac:dyDescent="0.3">
      <c r="C7" s="46"/>
    </row>
    <row r="8" spans="1:11" x14ac:dyDescent="0.3">
      <c r="C8" s="46"/>
    </row>
    <row r="9" spans="1:11" x14ac:dyDescent="0.3">
      <c r="B9" s="42" t="s">
        <v>56</v>
      </c>
      <c r="C9" s="42" t="s">
        <v>72</v>
      </c>
      <c r="D9" s="42" t="s">
        <v>73</v>
      </c>
    </row>
    <row r="10" spans="1:11" x14ac:dyDescent="0.3">
      <c r="B10" s="4" t="s">
        <v>74</v>
      </c>
      <c r="C10" s="4"/>
      <c r="D10" s="4">
        <f>C10/250</f>
        <v>0</v>
      </c>
    </row>
    <row r="11" spans="1:11" x14ac:dyDescent="0.3">
      <c r="B11" s="4" t="s">
        <v>75</v>
      </c>
      <c r="C11" s="4"/>
      <c r="D11" s="4">
        <f>C11/200</f>
        <v>0</v>
      </c>
    </row>
    <row r="12" spans="1:11" x14ac:dyDescent="0.3">
      <c r="B12" s="4" t="s">
        <v>76</v>
      </c>
      <c r="C12" s="4"/>
      <c r="D12" s="4">
        <f>C12/150</f>
        <v>0</v>
      </c>
    </row>
    <row r="13" spans="1:11" x14ac:dyDescent="0.3">
      <c r="B13" s="4" t="s">
        <v>77</v>
      </c>
      <c r="C13" s="4"/>
      <c r="D13" s="4">
        <f>C13/100</f>
        <v>0</v>
      </c>
    </row>
    <row r="14" spans="1:11" x14ac:dyDescent="0.3">
      <c r="B14" s="4" t="s">
        <v>78</v>
      </c>
      <c r="C14" s="4"/>
      <c r="D14" s="4">
        <f>C14/75</f>
        <v>0</v>
      </c>
    </row>
    <row r="15" spans="1:11" x14ac:dyDescent="0.3">
      <c r="B15" s="44" t="s">
        <v>79</v>
      </c>
      <c r="C15" s="44">
        <f>SUM(C10:C14)</f>
        <v>0</v>
      </c>
      <c r="D15" s="44">
        <f>SUM(D10:D14)</f>
        <v>0</v>
      </c>
    </row>
  </sheetData>
  <mergeCells count="2">
    <mergeCell ref="D1:E1"/>
    <mergeCell ref="A5:C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1:V51"/>
  <sheetViews>
    <sheetView topLeftCell="A3" workbookViewId="0">
      <selection activeCell="C25" sqref="C25"/>
    </sheetView>
  </sheetViews>
  <sheetFormatPr defaultRowHeight="14.4" x14ac:dyDescent="0.3"/>
  <cols>
    <col min="3" max="3" width="9.6640625" customWidth="1"/>
    <col min="4" max="4" width="48.109375" style="18" customWidth="1"/>
    <col min="5" max="5" width="11.6640625" customWidth="1"/>
    <col min="7" max="7" width="11.44140625" bestFit="1" customWidth="1"/>
    <col min="9" max="9" width="12.109375" customWidth="1"/>
    <col min="10" max="10" width="16.6640625" customWidth="1"/>
    <col min="12" max="12" width="13.5546875" customWidth="1"/>
    <col min="13" max="13" width="18" customWidth="1"/>
    <col min="16" max="16" width="41.109375" bestFit="1" customWidth="1"/>
    <col min="21" max="21" width="41.109375" bestFit="1" customWidth="1"/>
  </cols>
  <sheetData>
    <row r="1" spans="3:22" ht="15" thickBot="1" x14ac:dyDescent="0.35"/>
    <row r="2" spans="3:22" ht="46.8" thickBot="1" x14ac:dyDescent="0.9">
      <c r="F2" s="92" t="s">
        <v>80</v>
      </c>
      <c r="G2" s="93"/>
      <c r="H2" s="93"/>
      <c r="I2" s="93"/>
      <c r="J2" s="94"/>
    </row>
    <row r="3" spans="3:22" x14ac:dyDescent="0.3">
      <c r="D3" s="18" t="s">
        <v>118</v>
      </c>
      <c r="G3" s="18" t="s">
        <v>133</v>
      </c>
      <c r="L3" s="18" t="s">
        <v>134</v>
      </c>
      <c r="P3" s="18" t="s">
        <v>135</v>
      </c>
      <c r="U3" s="18" t="s">
        <v>136</v>
      </c>
    </row>
    <row r="4" spans="3:22" x14ac:dyDescent="0.3">
      <c r="D4" s="91"/>
      <c r="E4" s="91"/>
      <c r="F4" s="87"/>
      <c r="G4" s="87"/>
    </row>
    <row r="5" spans="3:22" x14ac:dyDescent="0.3">
      <c r="C5" s="44"/>
      <c r="D5" s="45" t="s">
        <v>81</v>
      </c>
      <c r="E5" s="44" t="s">
        <v>82</v>
      </c>
      <c r="G5" s="44"/>
      <c r="H5" s="45" t="s">
        <v>81</v>
      </c>
      <c r="I5" s="44" t="s">
        <v>82</v>
      </c>
      <c r="K5" s="44"/>
      <c r="L5" s="45" t="s">
        <v>81</v>
      </c>
      <c r="M5" s="44" t="s">
        <v>82</v>
      </c>
      <c r="O5" s="44"/>
      <c r="P5" s="45" t="s">
        <v>81</v>
      </c>
      <c r="Q5" s="44" t="s">
        <v>82</v>
      </c>
      <c r="T5" s="44"/>
      <c r="U5" s="45" t="s">
        <v>81</v>
      </c>
      <c r="V5" s="44" t="s">
        <v>82</v>
      </c>
    </row>
    <row r="6" spans="3:22" x14ac:dyDescent="0.3">
      <c r="C6" s="5" t="s">
        <v>32</v>
      </c>
      <c r="D6" s="5">
        <v>76</v>
      </c>
      <c r="E6" s="17">
        <f>D6/11</f>
        <v>6.9090909090909092</v>
      </c>
      <c r="G6" s="5" t="s">
        <v>32</v>
      </c>
      <c r="H6" s="5">
        <v>76</v>
      </c>
      <c r="I6" s="17">
        <f>H6/11</f>
        <v>6.9090909090909092</v>
      </c>
      <c r="K6" s="5" t="s">
        <v>32</v>
      </c>
      <c r="L6" s="5">
        <v>60</v>
      </c>
      <c r="M6" s="17">
        <f>L6/11</f>
        <v>5.4545454545454541</v>
      </c>
      <c r="O6" s="5" t="s">
        <v>32</v>
      </c>
      <c r="P6" s="5">
        <v>72</v>
      </c>
      <c r="Q6" s="17">
        <f>P6/11</f>
        <v>6.5454545454545459</v>
      </c>
      <c r="T6" s="5" t="s">
        <v>32</v>
      </c>
      <c r="U6" s="5">
        <v>36</v>
      </c>
      <c r="V6" s="17">
        <f>U6/11</f>
        <v>3.2727272727272729</v>
      </c>
    </row>
    <row r="7" spans="3:22" x14ac:dyDescent="0.3">
      <c r="C7" s="5" t="s">
        <v>34</v>
      </c>
      <c r="D7" s="5">
        <v>76</v>
      </c>
      <c r="E7" s="17">
        <f>D7/10</f>
        <v>7.6</v>
      </c>
      <c r="G7" s="5" t="s">
        <v>34</v>
      </c>
      <c r="H7" s="5">
        <v>76</v>
      </c>
      <c r="I7" s="17">
        <f>H7/10</f>
        <v>7.6</v>
      </c>
      <c r="K7" s="5" t="s">
        <v>34</v>
      </c>
      <c r="L7" s="5">
        <v>60</v>
      </c>
      <c r="M7" s="17">
        <f>L7/10</f>
        <v>6</v>
      </c>
      <c r="O7" s="5" t="s">
        <v>34</v>
      </c>
      <c r="P7" s="5">
        <v>72</v>
      </c>
      <c r="Q7" s="17">
        <f>P7/10</f>
        <v>7.2</v>
      </c>
      <c r="T7" s="5" t="s">
        <v>34</v>
      </c>
      <c r="U7" s="5">
        <v>36</v>
      </c>
      <c r="V7" s="17">
        <f>U7/10</f>
        <v>3.6</v>
      </c>
    </row>
    <row r="8" spans="3:22" x14ac:dyDescent="0.3">
      <c r="C8" s="5" t="s">
        <v>36</v>
      </c>
      <c r="D8" s="5">
        <v>76</v>
      </c>
      <c r="E8" s="17">
        <f>D8/9</f>
        <v>8.4444444444444446</v>
      </c>
      <c r="G8" s="5" t="s">
        <v>36</v>
      </c>
      <c r="H8" s="5">
        <v>76</v>
      </c>
      <c r="I8" s="17">
        <f>H8/9</f>
        <v>8.4444444444444446</v>
      </c>
      <c r="K8" s="5" t="s">
        <v>36</v>
      </c>
      <c r="L8" s="5">
        <v>60</v>
      </c>
      <c r="M8" s="17">
        <f>L8/9</f>
        <v>6.666666666666667</v>
      </c>
      <c r="O8" s="5" t="s">
        <v>36</v>
      </c>
      <c r="P8" s="5">
        <v>72</v>
      </c>
      <c r="Q8" s="17">
        <f>P8/9</f>
        <v>8</v>
      </c>
      <c r="T8" s="5" t="s">
        <v>36</v>
      </c>
      <c r="U8" s="5">
        <v>36</v>
      </c>
      <c r="V8" s="17">
        <f>U8/9</f>
        <v>4</v>
      </c>
    </row>
    <row r="9" spans="3:22" x14ac:dyDescent="0.3">
      <c r="C9" s="5" t="s">
        <v>38</v>
      </c>
      <c r="D9" s="5">
        <v>76</v>
      </c>
      <c r="E9" s="17">
        <f>D9/8</f>
        <v>9.5</v>
      </c>
      <c r="G9" s="5" t="s">
        <v>38</v>
      </c>
      <c r="H9" s="5">
        <v>76</v>
      </c>
      <c r="I9" s="17">
        <f>H9/8</f>
        <v>9.5</v>
      </c>
      <c r="K9" s="5" t="s">
        <v>38</v>
      </c>
      <c r="L9" s="5">
        <v>60</v>
      </c>
      <c r="M9" s="17">
        <f>L9/8</f>
        <v>7.5</v>
      </c>
      <c r="O9" s="5" t="s">
        <v>38</v>
      </c>
      <c r="P9" s="5">
        <v>72</v>
      </c>
      <c r="Q9" s="17">
        <f>P9/8</f>
        <v>9</v>
      </c>
      <c r="T9" s="5" t="s">
        <v>38</v>
      </c>
      <c r="U9" s="5">
        <v>36</v>
      </c>
      <c r="V9" s="17">
        <f>U9/8</f>
        <v>4.5</v>
      </c>
    </row>
    <row r="10" spans="3:22" x14ac:dyDescent="0.3">
      <c r="C10" s="5" t="s">
        <v>40</v>
      </c>
      <c r="D10" s="5">
        <v>76</v>
      </c>
      <c r="E10" s="17">
        <f>D10/7</f>
        <v>10.857142857142858</v>
      </c>
      <c r="G10" s="5" t="s">
        <v>40</v>
      </c>
      <c r="H10" s="5">
        <v>76</v>
      </c>
      <c r="I10" s="17">
        <f>H10/7</f>
        <v>10.857142857142858</v>
      </c>
      <c r="K10" s="5" t="s">
        <v>40</v>
      </c>
      <c r="L10" s="5">
        <v>60</v>
      </c>
      <c r="M10" s="17">
        <f>L10/7</f>
        <v>8.5714285714285712</v>
      </c>
      <c r="O10" s="5" t="s">
        <v>40</v>
      </c>
      <c r="P10" s="5">
        <v>72</v>
      </c>
      <c r="Q10" s="17">
        <f>P10/7</f>
        <v>10.285714285714286</v>
      </c>
      <c r="T10" s="5" t="s">
        <v>40</v>
      </c>
      <c r="U10" s="5">
        <v>36</v>
      </c>
      <c r="V10" s="17">
        <f>U10/7</f>
        <v>5.1428571428571432</v>
      </c>
    </row>
    <row r="11" spans="3:22" x14ac:dyDescent="0.3">
      <c r="C11" s="5" t="s">
        <v>42</v>
      </c>
      <c r="D11" s="5">
        <v>76</v>
      </c>
      <c r="E11" s="17">
        <f>D11/6</f>
        <v>12.666666666666666</v>
      </c>
      <c r="G11" s="5" t="s">
        <v>42</v>
      </c>
      <c r="H11" s="5">
        <v>76</v>
      </c>
      <c r="I11" s="17">
        <f>H11/6</f>
        <v>12.666666666666666</v>
      </c>
      <c r="K11" s="5" t="s">
        <v>42</v>
      </c>
      <c r="L11" s="5">
        <v>60</v>
      </c>
      <c r="M11" s="17">
        <f>L11/6</f>
        <v>10</v>
      </c>
      <c r="O11" s="5" t="s">
        <v>42</v>
      </c>
      <c r="P11" s="5">
        <v>72</v>
      </c>
      <c r="Q11" s="17">
        <f>P11/6</f>
        <v>12</v>
      </c>
      <c r="T11" s="5" t="s">
        <v>42</v>
      </c>
      <c r="U11" s="5">
        <v>36</v>
      </c>
      <c r="V11" s="17">
        <f>U11/6</f>
        <v>6</v>
      </c>
    </row>
    <row r="12" spans="3:22" x14ac:dyDescent="0.3">
      <c r="C12" s="5" t="s">
        <v>44</v>
      </c>
      <c r="D12" s="5">
        <v>76</v>
      </c>
      <c r="E12" s="17">
        <f>D12/5</f>
        <v>15.2</v>
      </c>
      <c r="G12" s="5" t="s">
        <v>44</v>
      </c>
      <c r="H12" s="5">
        <v>76</v>
      </c>
      <c r="I12" s="17">
        <f>H12/5</f>
        <v>15.2</v>
      </c>
      <c r="K12" s="5" t="s">
        <v>44</v>
      </c>
      <c r="L12" s="5">
        <v>60</v>
      </c>
      <c r="M12" s="17">
        <f>L12/5</f>
        <v>12</v>
      </c>
      <c r="O12" s="5" t="s">
        <v>44</v>
      </c>
      <c r="P12" s="5">
        <v>72</v>
      </c>
      <c r="Q12" s="17">
        <f>P12/5</f>
        <v>14.4</v>
      </c>
      <c r="T12" s="5" t="s">
        <v>44</v>
      </c>
      <c r="U12" s="5">
        <v>36</v>
      </c>
      <c r="V12" s="17">
        <f>U12/5</f>
        <v>7.2</v>
      </c>
    </row>
    <row r="13" spans="3:22" x14ac:dyDescent="0.3">
      <c r="C13" s="5" t="s">
        <v>46</v>
      </c>
      <c r="D13" s="5">
        <v>76</v>
      </c>
      <c r="E13" s="17">
        <f>D13/4</f>
        <v>19</v>
      </c>
      <c r="G13" s="5" t="s">
        <v>46</v>
      </c>
      <c r="H13" s="5">
        <v>76</v>
      </c>
      <c r="I13" s="17">
        <f>H13/4</f>
        <v>19</v>
      </c>
      <c r="K13" s="5" t="s">
        <v>46</v>
      </c>
      <c r="L13" s="5">
        <v>60</v>
      </c>
      <c r="M13" s="17">
        <f>L13/4</f>
        <v>15</v>
      </c>
      <c r="O13" s="5" t="s">
        <v>46</v>
      </c>
      <c r="P13" s="5">
        <v>72</v>
      </c>
      <c r="Q13" s="17">
        <f>P13/4</f>
        <v>18</v>
      </c>
      <c r="T13" s="5" t="s">
        <v>46</v>
      </c>
      <c r="U13" s="5">
        <v>36</v>
      </c>
      <c r="V13" s="17">
        <f>U13/4</f>
        <v>9</v>
      </c>
    </row>
    <row r="14" spans="3:22" x14ac:dyDescent="0.3">
      <c r="C14" s="5" t="s">
        <v>83</v>
      </c>
      <c r="D14" s="5">
        <v>76</v>
      </c>
      <c r="E14" s="17">
        <f>D14/3</f>
        <v>25.333333333333332</v>
      </c>
      <c r="G14" s="5" t="s">
        <v>83</v>
      </c>
      <c r="H14" s="5">
        <v>76</v>
      </c>
      <c r="I14" s="17">
        <f>H14/3</f>
        <v>25.333333333333332</v>
      </c>
      <c r="K14" s="5" t="s">
        <v>83</v>
      </c>
      <c r="L14" s="5">
        <v>60</v>
      </c>
      <c r="M14" s="17">
        <f>L14/3</f>
        <v>20</v>
      </c>
      <c r="O14" s="5" t="s">
        <v>83</v>
      </c>
      <c r="P14" s="5">
        <v>72</v>
      </c>
      <c r="Q14" s="17">
        <f>P14/3</f>
        <v>24</v>
      </c>
      <c r="T14" s="5" t="s">
        <v>83</v>
      </c>
      <c r="U14" s="5">
        <v>36</v>
      </c>
      <c r="V14" s="17">
        <f>U14/3</f>
        <v>12</v>
      </c>
    </row>
    <row r="15" spans="3:22" x14ac:dyDescent="0.3">
      <c r="C15" s="4" t="s">
        <v>84</v>
      </c>
      <c r="D15" s="5">
        <f>SUM(D6:D14)</f>
        <v>684</v>
      </c>
      <c r="E15" s="19">
        <f>SUM(E6:E14)</f>
        <v>115.51067821067819</v>
      </c>
      <c r="G15" s="4" t="s">
        <v>84</v>
      </c>
      <c r="H15" s="5">
        <f>SUM(H6:H14)</f>
        <v>684</v>
      </c>
      <c r="I15" s="19">
        <f>SUM(I6:I14)</f>
        <v>115.51067821067819</v>
      </c>
      <c r="K15" s="4" t="s">
        <v>84</v>
      </c>
      <c r="L15" s="5">
        <f>SUM(L6:L14)</f>
        <v>540</v>
      </c>
      <c r="M15" s="19">
        <f>SUM(M6:M14)</f>
        <v>91.192640692640694</v>
      </c>
      <c r="O15" s="4" t="s">
        <v>84</v>
      </c>
      <c r="P15" s="5">
        <f>SUM(P6:P14)</f>
        <v>648</v>
      </c>
      <c r="Q15" s="19">
        <f>SUM(Q6:Q14)</f>
        <v>109.43116883116883</v>
      </c>
      <c r="T15" s="4" t="s">
        <v>84</v>
      </c>
      <c r="U15" s="5">
        <f>SUM(U6:U14)</f>
        <v>324</v>
      </c>
      <c r="V15" s="19">
        <f>SUM(V6:V14)</f>
        <v>54.715584415584416</v>
      </c>
    </row>
    <row r="18" spans="4:13" x14ac:dyDescent="0.3">
      <c r="I18" s="8"/>
      <c r="J18" s="8"/>
      <c r="K18" s="8"/>
      <c r="L18" s="8"/>
      <c r="M18" s="8"/>
    </row>
    <row r="20" spans="4:13" x14ac:dyDescent="0.3">
      <c r="D20" s="96" t="s">
        <v>119</v>
      </c>
    </row>
    <row r="21" spans="4:13" x14ac:dyDescent="0.3">
      <c r="D21"/>
    </row>
    <row r="22" spans="4:13" x14ac:dyDescent="0.3">
      <c r="D22" s="96" t="s">
        <v>120</v>
      </c>
    </row>
    <row r="23" spans="4:13" x14ac:dyDescent="0.3">
      <c r="D23"/>
    </row>
    <row r="24" spans="4:13" x14ac:dyDescent="0.3">
      <c r="D24" s="96" t="s">
        <v>121</v>
      </c>
    </row>
    <row r="25" spans="4:13" x14ac:dyDescent="0.3">
      <c r="D25"/>
    </row>
    <row r="26" spans="4:13" x14ac:dyDescent="0.3">
      <c r="D26" s="96" t="s">
        <v>122</v>
      </c>
    </row>
    <row r="27" spans="4:13" x14ac:dyDescent="0.3">
      <c r="D27"/>
    </row>
    <row r="28" spans="4:13" x14ac:dyDescent="0.3">
      <c r="D28" s="96" t="s">
        <v>123</v>
      </c>
    </row>
    <row r="33" spans="4:7" ht="28.8" x14ac:dyDescent="0.3">
      <c r="D33" t="s">
        <v>124</v>
      </c>
      <c r="F33" s="97" t="s">
        <v>28</v>
      </c>
      <c r="G33" s="97" t="s">
        <v>137</v>
      </c>
    </row>
    <row r="34" spans="4:7" ht="28.8" x14ac:dyDescent="0.3">
      <c r="D34"/>
      <c r="F34" s="97" t="s">
        <v>29</v>
      </c>
      <c r="G34" s="97" t="s">
        <v>138</v>
      </c>
    </row>
    <row r="35" spans="4:7" ht="28.8" x14ac:dyDescent="0.3">
      <c r="D35" t="s">
        <v>125</v>
      </c>
      <c r="F35" s="97" t="s">
        <v>30</v>
      </c>
      <c r="G35" s="97" t="s">
        <v>139</v>
      </c>
    </row>
    <row r="36" spans="4:7" x14ac:dyDescent="0.3">
      <c r="D36"/>
    </row>
    <row r="37" spans="4:7" x14ac:dyDescent="0.3">
      <c r="D37" t="s">
        <v>126</v>
      </c>
    </row>
    <row r="38" spans="4:7" x14ac:dyDescent="0.3">
      <c r="D38"/>
    </row>
    <row r="39" spans="4:7" x14ac:dyDescent="0.3">
      <c r="D39" t="s">
        <v>127</v>
      </c>
    </row>
    <row r="43" spans="4:7" x14ac:dyDescent="0.3">
      <c r="D43" t="s">
        <v>128</v>
      </c>
    </row>
    <row r="44" spans="4:7" x14ac:dyDescent="0.3">
      <c r="D44"/>
    </row>
    <row r="45" spans="4:7" x14ac:dyDescent="0.3">
      <c r="D45" t="s">
        <v>129</v>
      </c>
    </row>
    <row r="46" spans="4:7" x14ac:dyDescent="0.3">
      <c r="D46"/>
    </row>
    <row r="47" spans="4:7" x14ac:dyDescent="0.3">
      <c r="D47" t="s">
        <v>130</v>
      </c>
    </row>
    <row r="48" spans="4:7" x14ac:dyDescent="0.3">
      <c r="D48"/>
    </row>
    <row r="49" spans="4:4" x14ac:dyDescent="0.3">
      <c r="D49" t="s">
        <v>131</v>
      </c>
    </row>
    <row r="50" spans="4:4" x14ac:dyDescent="0.3">
      <c r="D50"/>
    </row>
    <row r="51" spans="4:4" x14ac:dyDescent="0.3">
      <c r="D51" t="s">
        <v>132</v>
      </c>
    </row>
  </sheetData>
  <mergeCells count="3">
    <mergeCell ref="D4:E4"/>
    <mergeCell ref="F4:G4"/>
    <mergeCell ref="F2:J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5AE6EC062715418846A9D31BDA1C20" ma:contentTypeVersion="3" ma:contentTypeDescription="Create a new document." ma:contentTypeScope="" ma:versionID="ae7c6ce32b85e220d7527b7c4d107a20">
  <xsd:schema xmlns:xsd="http://www.w3.org/2001/XMLSchema" xmlns:xs="http://www.w3.org/2001/XMLSchema" xmlns:p="http://schemas.microsoft.com/office/2006/metadata/properties" xmlns:ns2="4b55f20b-1131-428a-8389-d9ac9c4afdf6" targetNamespace="http://schemas.microsoft.com/office/2006/metadata/properties" ma:root="true" ma:fieldsID="147826a4b1339b0ff9c4821bd155775b" ns2:_="">
    <xsd:import namespace="4b55f20b-1131-428a-8389-d9ac9c4afd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55f20b-1131-428a-8389-d9ac9c4afdf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6436FF0-7D18-4B61-A203-95CCC0BA69C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b55f20b-1131-428a-8389-d9ac9c4afdf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3438E98-17EB-49F5-A812-20B7D0226B4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88A28D2-7E31-44A6-A1EC-1B182E167850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Network Modeling</vt:lpstr>
      <vt:lpstr>Sheet1</vt:lpstr>
      <vt:lpstr>1</vt:lpstr>
      <vt:lpstr>DISTANCE Calculator </vt:lpstr>
      <vt:lpstr>SKU Calculator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2025-07-23T06:33:37Z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0x010100145AE6EC062715418846A9D31BDA1C20</vt:lpwstr>
  </property>
</Properties>
</file>